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Raw Data"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Ratios" sheetId="6" state="visible" r:id="rId6"/>
    <sheet xmlns:r="http://schemas.openxmlformats.org/officeDocument/2006/relationships" name="Growth" sheetId="7" state="visible" r:id="rId7"/>
    <sheet xmlns:r="http://schemas.openxmlformats.org/officeDocument/2006/relationships" name="CAGR" sheetId="8" state="visible" r:id="rId8"/>
    <sheet xmlns:r="http://schemas.openxmlformats.org/officeDocument/2006/relationships" name="Horizontal Analysis" sheetId="9" state="visible" r:id="rId9"/>
    <sheet xmlns:r="http://schemas.openxmlformats.org/officeDocument/2006/relationships" name="Vertical Analysis" sheetId="10" state="visible" r:id="rId10"/>
    <sheet xmlns:r="http://schemas.openxmlformats.org/officeDocument/2006/relationships" name="DuPont" sheetId="11" state="visible" r:id="rId11"/>
    <sheet xmlns:r="http://schemas.openxmlformats.org/officeDocument/2006/relationships" name="Working Capital" sheetId="12" state="visible" r:id="rId12"/>
    <sheet xmlns:r="http://schemas.openxmlformats.org/officeDocument/2006/relationships" name="Risk Flags" sheetId="13" state="visible" r:id="rId13"/>
    <sheet xmlns:r="http://schemas.openxmlformats.org/officeDocument/2006/relationships" name="Health Score" sheetId="14" state="visible" r:id="rId14"/>
    <sheet xmlns:r="http://schemas.openxmlformats.org/officeDocument/2006/relationships" name="Scenario Analysis" sheetId="15" state="visible" r:id="rId15"/>
    <sheet xmlns:r="http://schemas.openxmlformats.org/officeDocument/2006/relationships" name="Scenario Assumptions" sheetId="16" state="visible" r:id="rId16"/>
    <sheet xmlns:r="http://schemas.openxmlformats.org/officeDocument/2006/relationships" name="Data Quality" sheetId="17" state="visible" r:id="rId17"/>
    <sheet xmlns:r="http://schemas.openxmlformats.org/officeDocument/2006/relationships" name="Data Sources" sheetId="18" state="visible" r:id="rId18"/>
    <sheet xmlns:r="http://schemas.openxmlformats.org/officeDocument/2006/relationships" name="Methodology" sheetId="19" state="visible" r:id="rId19"/>
  </sheets>
  <definedNames>
    <definedName name="_xlnm._FilterDatabase" localSheetId="0" hidden="1">'Executive Summary'!$A$3:$B$13</definedName>
    <definedName name="_xlnm.Print_Titles" localSheetId="0">'Executive Summary'!$1:$3</definedName>
    <definedName name="_xlnm._FilterDatabase" localSheetId="1" hidden="1">'Raw Data'!$A$3:$AO$8</definedName>
    <definedName name="_xlnm.Print_Titles" localSheetId="1">'Raw Data'!$1:$3</definedName>
    <definedName name="_xlnm._FilterDatabase" localSheetId="2" hidden="1">'Income Statement'!$A$3:$F$14</definedName>
    <definedName name="_xlnm.Print_Titles" localSheetId="2">'Income Statement'!$1:$3</definedName>
    <definedName name="_xlnm._FilterDatabase" localSheetId="3" hidden="1">'Balance Sheet'!$A$3:$F$19</definedName>
    <definedName name="_xlnm.Print_Titles" localSheetId="3">'Balance Sheet'!$1:$3</definedName>
    <definedName name="_xlnm._FilterDatabase" localSheetId="4" hidden="1">'Cash Flow'!$A$3:$F$8</definedName>
    <definedName name="_xlnm.Print_Titles" localSheetId="4">'Cash Flow'!$1:$3</definedName>
    <definedName name="_xlnm._FilterDatabase" localSheetId="5" hidden="1">'Ratios'!$A$3:$F$40</definedName>
    <definedName name="_xlnm.Print_Titles" localSheetId="5">'Ratios'!$1:$3</definedName>
    <definedName name="_xlnm._FilterDatabase" localSheetId="6" hidden="1">'Growth'!$A$3:$F$14</definedName>
    <definedName name="_xlnm.Print_Titles" localSheetId="6">'Growth'!$1:$3</definedName>
    <definedName name="_xlnm._FilterDatabase" localSheetId="7" hidden="1">'CAGR'!$A$3:$B$14</definedName>
    <definedName name="_xlnm.Print_Titles" localSheetId="7">'CAGR'!$1:$3</definedName>
    <definedName name="_xlnm._FilterDatabase" localSheetId="8" hidden="1">'Horizontal Analysis'!$A$3:$E$203</definedName>
    <definedName name="_xlnm.Print_Titles" localSheetId="8">'Horizontal Analysis'!$1:$3</definedName>
    <definedName name="_xlnm._FilterDatabase" localSheetId="9" hidden="1">'Vertical Analysis'!$A$3:$F$30</definedName>
    <definedName name="_xlnm.Print_Titles" localSheetId="9">'Vertical Analysis'!$1:$3</definedName>
    <definedName name="_xlnm._FilterDatabase" localSheetId="10" hidden="1">'DuPont'!$A$3:$F$7</definedName>
    <definedName name="_xlnm.Print_Titles" localSheetId="10">'DuPont'!$1:$3</definedName>
    <definedName name="_xlnm._FilterDatabase" localSheetId="11" hidden="1">'Working Capital'!$A$3:$F$9</definedName>
    <definedName name="_xlnm.Print_Titles" localSheetId="11">'Working Capital'!$1:$3</definedName>
    <definedName name="_xlnm._FilterDatabase" localSheetId="12" hidden="1">'Risk Flags'!$A$3:$G$9</definedName>
    <definedName name="_xlnm.Print_Titles" localSheetId="12">'Risk Flags'!$1:$3</definedName>
    <definedName name="_xlnm._FilterDatabase" localSheetId="13" hidden="1">'Health Score'!$A$3:$F$9</definedName>
    <definedName name="_xlnm.Print_Titles" localSheetId="13">'Health Score'!$1:$3</definedName>
    <definedName name="_xlnm._FilterDatabase" localSheetId="14" hidden="1">'Scenario Analysis'!$A$3:$C$19</definedName>
    <definedName name="_xlnm.Print_Titles" localSheetId="14">'Scenario Analysis'!$1:$3</definedName>
    <definedName name="_xlnm._FilterDatabase" localSheetId="15" hidden="1">'Scenario Assumptions'!$A$3:$C$13</definedName>
    <definedName name="_xlnm.Print_Titles" localSheetId="15">'Scenario Assumptions'!$1:$3</definedName>
    <definedName name="_xlnm._FilterDatabase" localSheetId="16" hidden="1">'Data Quality'!$A$3:$C$3</definedName>
    <definedName name="_xlnm.Print_Titles" localSheetId="16">'Data Quality'!$1:$3</definedName>
    <definedName name="_xlnm._FilterDatabase" localSheetId="17" hidden="1">'Data Sources'!$A$3:$E$203</definedName>
    <definedName name="_xlnm.Print_Titles" localSheetId="17">'Data Sources'!$1:$3</definedName>
    <definedName name="_xlnm._FilterDatabase" localSheetId="18" hidden="1">'Methodology'!$A$3:$B$40</definedName>
    <definedName name="_xlnm.Print_Titles" localSheetId="18">'Methodology'!$1:$3</definedName>
  </definedNames>
  <calcPr calcId="124519" fullCalcOnLoad="1"/>
</workbook>
</file>

<file path=xl/styles.xml><?xml version="1.0" encoding="utf-8"?>
<styleSheet xmlns="http://schemas.openxmlformats.org/spreadsheetml/2006/main">
  <numFmts count="4">
    <numFmt numFmtId="164" formatCode="#,##0.00;[Red](#,##0.00);0.00"/>
    <numFmt numFmtId="165" formatCode="0.0%;[Red](0.0%);0.0%"/>
    <numFmt numFmtId="166" formatCode="0.0%"/>
    <numFmt numFmtId="167" formatCode="&quot;BDT &quot;#,##0.00;[Red](#,##0.00);&quot;BDT &quot;0.00"/>
  </numFmts>
  <fonts count="5">
    <font>
      <name val="Calibri"/>
      <family val="2"/>
      <color theme="1"/>
      <sz val="11"/>
      <scheme val="minor"/>
    </font>
    <font>
      <name val="Calibri"/>
      <b val="1"/>
      <color rgb="00FFFFFF"/>
      <sz val="20"/>
    </font>
    <font>
      <name val="Calibri"/>
      <color rgb="00587089"/>
      <sz val="10"/>
    </font>
    <font>
      <name val="Calibri"/>
      <b val="1"/>
      <color rgb="00FFFFFF"/>
    </font>
    <font>
      <name val="Calibri"/>
      <color rgb="00173859"/>
      <sz val="11"/>
    </font>
  </fonts>
  <fills count="6">
    <fill>
      <patternFill/>
    </fill>
    <fill>
      <patternFill patternType="gray125"/>
    </fill>
    <fill>
      <patternFill patternType="solid">
        <fgColor rgb="00173859"/>
      </patternFill>
    </fill>
    <fill>
      <patternFill patternType="solid">
        <fgColor rgb="00008C95"/>
      </patternFill>
    </fill>
    <fill>
      <patternFill patternType="solid">
        <fgColor rgb="00F1F5F9"/>
      </patternFill>
    </fill>
    <fill>
      <patternFill patternType="solid">
        <fgColor rgb="00FFFFFF"/>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top" wrapText="1"/>
    </xf>
    <xf numFmtId="0" fontId="4" fillId="5" borderId="0" applyAlignment="1" pivotButton="0" quotePrefix="0" xfId="0">
      <alignment vertical="top" wrapText="1"/>
    </xf>
    <xf numFmtId="1" fontId="4" fillId="4" borderId="0" applyAlignment="1" pivotButton="0" quotePrefix="0" xfId="0">
      <alignment vertical="top" wrapText="1"/>
    </xf>
    <xf numFmtId="167" fontId="4" fillId="4" borderId="0" applyAlignment="1" pivotButton="0" quotePrefix="0" xfId="0">
      <alignment vertical="top" wrapText="1"/>
    </xf>
    <xf numFmtId="3" fontId="4" fillId="4" borderId="0" applyAlignment="1" pivotButton="0" quotePrefix="0" xfId="0">
      <alignment vertical="top" wrapText="1"/>
    </xf>
    <xf numFmtId="1" fontId="4" fillId="5" borderId="0" applyAlignment="1" pivotButton="0" quotePrefix="0" xfId="0">
      <alignment vertical="top" wrapText="1"/>
    </xf>
    <xf numFmtId="167" fontId="4" fillId="5" borderId="0" applyAlignment="1" pivotButton="0" quotePrefix="0" xfId="0">
      <alignment vertical="top" wrapText="1"/>
    </xf>
    <xf numFmtId="3" fontId="4" fillId="5" borderId="0" applyAlignment="1" pivotButton="0" quotePrefix="0" xfId="0">
      <alignment vertical="top" wrapText="1"/>
    </xf>
    <xf numFmtId="164" fontId="4" fillId="4" borderId="0" applyAlignment="1" pivotButton="0" quotePrefix="0" xfId="0">
      <alignment vertical="top" wrapText="1"/>
    </xf>
    <xf numFmtId="164" fontId="4" fillId="5" borderId="0" applyAlignment="1" pivotButton="0" quotePrefix="0" xfId="0">
      <alignment vertical="top" wrapText="1"/>
    </xf>
    <xf numFmtId="165" fontId="4" fillId="4" borderId="0" applyAlignment="1" pivotButton="0" quotePrefix="0" xfId="0">
      <alignment vertical="top" wrapText="1"/>
    </xf>
    <xf numFmtId="165" fontId="4" fillId="5" borderId="0" applyAlignment="1" pivotButton="0" quotePrefix="0" xfId="0">
      <alignment vertical="top" wrapText="1"/>
    </xf>
    <xf numFmtId="166" fontId="4" fillId="4" borderId="0" applyAlignment="1" pivotButton="0" quotePrefix="0" xfId="0">
      <alignment vertical="top" wrapText="1"/>
    </xf>
    <xf numFmtId="166"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and net income</a:t>
            </a:r>
          </a:p>
        </rich>
      </tx>
    </title>
    <plotArea>
      <lineChart>
        <grouping val="standard"/>
        <ser>
          <idx val="0"/>
          <order val="0"/>
          <tx>
            <strRef>
              <f>'Income Statement'!A4</f>
            </strRef>
          </tx>
          <spPr>
            <a:ln xmlns:a="http://schemas.openxmlformats.org/drawingml/2006/main">
              <a:prstDash val="solid"/>
            </a:ln>
          </spPr>
          <marker>
            <symbol val="none"/>
            <spPr>
              <a:ln xmlns:a="http://schemas.openxmlformats.org/drawingml/2006/main">
                <a:prstDash val="solid"/>
              </a:ln>
            </spPr>
          </marker>
          <cat>
            <numRef>
              <f>'Income Statement'!$B$3:$F$3</f>
            </numRef>
          </cat>
          <val>
            <numRef>
              <f>'Income Statement'!$B$4:$F$4</f>
            </numRef>
          </val>
        </ser>
        <ser>
          <idx val="1"/>
          <order val="1"/>
          <tx>
            <strRef>
              <f>'Income Statement'!A14</f>
            </strRef>
          </tx>
          <spPr>
            <a:ln xmlns:a="http://schemas.openxmlformats.org/drawingml/2006/main">
              <a:prstDash val="solid"/>
            </a:ln>
          </spPr>
          <marker>
            <symbol val="none"/>
            <spPr>
              <a:ln xmlns:a="http://schemas.openxmlformats.org/drawingml/2006/main">
                <a:prstDash val="solid"/>
              </a:ln>
            </spPr>
          </marker>
          <cat>
            <numRef>
              <f>'Income Statement'!$B$3:$F$3</f>
            </numRef>
          </cat>
          <val>
            <numRef>
              <f>'Income Statement'!$B$14:$F$14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BDT (full units)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col>
      <colOff>0</colOff>
      <row>0</row>
      <rowOff>0</rowOff>
    </from>
    <ext cx="2238375" cy="1276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17</row>
      <rowOff>0</rowOff>
    </from>
    <ext cx="82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B1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110" customWidth="1" min="2" max="2"/>
  </cols>
  <sheetData>
    <row r="1" ht="36" customHeight="1">
      <c r="A1" s="1" t="inlineStr">
        <is>
          <t>Executive Summary</t>
        </is>
      </c>
    </row>
    <row r="2" ht="36" customHeight="1">
      <c r="A2" s="2" t="inlineStr">
        <is>
          <t>Apex Consumer Industries Ltd. · BDT · FY2021–FY2025 · Values-only snapshot; rerun Falcon Finalysis after input changes.</t>
        </is>
      </c>
    </row>
    <row r="3" ht="32" customHeight="1">
      <c r="A3" s="3" t="inlineStr">
        <is>
          <t>Metric</t>
        </is>
      </c>
      <c r="B3" s="3" t="inlineStr">
        <is>
          <t>Interpretation</t>
        </is>
      </c>
    </row>
    <row r="4" ht="35" customHeight="1">
      <c r="A4" s="4" t="inlineStr">
        <is>
          <t>Financial Overview</t>
        </is>
      </c>
      <c r="B4" s="4" t="inlineStr">
        <is>
          <t>FY2025 revenue is 1,670,000,000.00 in reporting currency units. Revenue changed 12.5% versus the prior year.</t>
        </is>
      </c>
    </row>
    <row r="5" ht="50" customHeight="1">
      <c r="A5" s="5" t="inlineStr">
        <is>
          <t>Profitability</t>
        </is>
      </c>
      <c r="B5" s="5" t="inlineStr">
        <is>
          <t>Net Profit Margin is 7.9%. Previous: 8.4%; change: -0.5 percentage points. Changes may reflect pricing, product mix or cost pressure; the data alone does not identify the cause. Three-year assessment: Deteriorating.</t>
        </is>
      </c>
    </row>
    <row r="6" ht="50" customHeight="1">
      <c r="A6" s="4" t="inlineStr">
        <is>
          <t>Liquidity</t>
        </is>
      </c>
      <c r="B6" s="4" t="inlineStr">
        <is>
          <t>Current Ratio is 2.70x. Previous: 2.45x; change: +0.24. Current assets provide 2.70 for each 1.00 of current liabilities. Positive operating cash flow provides additional context but does not guarantee timely payments. Three-year assessment: Improving.</t>
        </is>
      </c>
    </row>
    <row r="7" ht="35" customHeight="1">
      <c r="A7" s="5" t="inlineStr">
        <is>
          <t>Solvency</t>
        </is>
      </c>
      <c r="B7" s="5" t="inlineStr">
        <is>
          <t>Debt-to-Equity is 0.49x. Previous: 0.48x; change: +0.00. Uses interest-bearing short- and long-term debt, excluding other liabilities. Three-year assessment: Stable.</t>
        </is>
      </c>
    </row>
    <row r="8" ht="50" customHeight="1">
      <c r="A8" s="4" t="inlineStr">
        <is>
          <t>Efficiency</t>
        </is>
      </c>
      <c r="B8" s="4" t="inlineStr">
        <is>
          <t>Cash Conversion Cycle is 78.59 days. Previous: 69.59 days; change: +9.01. Longer cycles may increase funding needs; negative cycles can reflect collection before supplier payment. Three-year assessment: Strong Deterioration.</t>
        </is>
      </c>
    </row>
    <row r="9" ht="35" customHeight="1">
      <c r="A9" s="5" t="inlineStr">
        <is>
          <t>Cash Flow</t>
        </is>
      </c>
      <c r="B9" s="5" t="inlineStr">
        <is>
          <t>Operating Cash Flow Margin is 10.8%. Previous: 10.9%; change: -0.1 percentage points. Evaluate alongside related metrics and industry conditions. Three-year assessment: Deteriorating.</t>
        </is>
      </c>
    </row>
    <row r="10" ht="25" customHeight="1">
      <c r="A10" s="4" t="inlineStr">
        <is>
          <t>Growth</t>
        </is>
      </c>
      <c r="B10" s="4" t="inlineStr">
        <is>
          <t>Revenue growth: 12.5%. Conventional growth is unavailable when the prior base is nonpositive.</t>
        </is>
      </c>
    </row>
    <row r="11" ht="35" customHeight="1">
      <c r="A11" s="5" t="inlineStr">
        <is>
          <t>Key Strengths</t>
        </is>
      </c>
      <c r="B11" s="5" t="inlineStr">
        <is>
          <t>Operating Cash Flow moved in a potentially favorable direction versus the previous year. Revenue grew in both latest annual intervals.</t>
        </is>
      </c>
    </row>
    <row r="12" ht="50" customHeight="1">
      <c r="A12" s="4" t="inlineStr">
        <is>
          <t>Key Risks</t>
        </is>
      </c>
      <c r="B12" s="4" t="inlineStr">
        <is>
          <t>Receivable Days increased by more than five days in the latest year. This may increase operating funding needs. Cash Conversion Cycle increased by more than five days in the latest year. This may increase operating funding needs.</t>
        </is>
      </c>
    </row>
    <row r="13" ht="35" customHeight="1">
      <c r="A13" s="5" t="inlineStr">
        <is>
          <t>Areas to Monitor</t>
        </is>
      </c>
      <c r="B13" s="5" t="inlineStr">
        <is>
          <t>Net margin declined across the latest three annual observations, suggesting persistent earnings pressure. The cash conversion cycle lengthened in both latest annual movements.</t>
        </is>
      </c>
    </row>
  </sheetData>
  <autoFilter ref="A3:B13"/>
  <mergeCells count="2">
    <mergeCell ref="A2:B2"/>
    <mergeCell ref="A1:B1"/>
  </mergeCells>
  <pageMargins left="0.75" right="0.75" top="1" bottom="1"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O8"/>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s>
  <sheetData>
    <row r="1" ht="36" customHeight="1">
      <c r="A1" s="1" t="inlineStr">
        <is>
          <t>Raw Data</t>
        </is>
      </c>
    </row>
    <row r="2" ht="36" customHeight="1">
      <c r="A2" s="2" t="inlineStr">
        <is>
          <t>Apex Consumer Industries Ltd. · BDT · FY2021–FY2025 · Values-only snapshot; rerun Falcon Finalysis after input changes.</t>
        </is>
      </c>
    </row>
    <row r="3" ht="32" customHeight="1">
      <c r="A3" s="3" t="inlineStr">
        <is>
          <t>Year</t>
        </is>
      </c>
      <c r="B3" s="3" t="inlineStr">
        <is>
          <t>Revenue</t>
        </is>
      </c>
      <c r="C3" s="3" t="inlineStr">
        <is>
          <t>COGS</t>
        </is>
      </c>
      <c r="D3" s="3" t="inlineStr">
        <is>
          <t>Gross Profit</t>
        </is>
      </c>
      <c r="E3" s="3" t="inlineStr">
        <is>
          <t>Operating Expenses</t>
        </is>
      </c>
      <c r="F3" s="3" t="inlineStr">
        <is>
          <t>EBITDA</t>
        </is>
      </c>
      <c r="G3" s="3" t="inlineStr">
        <is>
          <t>Depreciation</t>
        </is>
      </c>
      <c r="H3" s="3" t="inlineStr">
        <is>
          <t>EBIT</t>
        </is>
      </c>
      <c r="I3" s="3" t="inlineStr">
        <is>
          <t>Interest Expense</t>
        </is>
      </c>
      <c r="J3" s="3" t="inlineStr">
        <is>
          <t>EBT</t>
        </is>
      </c>
      <c r="K3" s="3" t="inlineStr">
        <is>
          <t>Tax Expense</t>
        </is>
      </c>
      <c r="L3" s="3" t="inlineStr">
        <is>
          <t>Net Income</t>
        </is>
      </c>
      <c r="M3" s="3" t="inlineStr">
        <is>
          <t>Cash</t>
        </is>
      </c>
      <c r="N3" s="3" t="inlineStr">
        <is>
          <t>Accounts Receivable</t>
        </is>
      </c>
      <c r="O3" s="3" t="inlineStr">
        <is>
          <t>Inventory</t>
        </is>
      </c>
      <c r="P3" s="3" t="inlineStr">
        <is>
          <t>Other Current Assets</t>
        </is>
      </c>
      <c r="Q3" s="3" t="inlineStr">
        <is>
          <t>Total Current Assets</t>
        </is>
      </c>
      <c r="R3" s="3" t="inlineStr">
        <is>
          <t>Property Plant Equipment</t>
        </is>
      </c>
      <c r="S3" s="3" t="inlineStr">
        <is>
          <t>Other Non-Current Assets</t>
        </is>
      </c>
      <c r="T3" s="3" t="inlineStr">
        <is>
          <t>Total Assets</t>
        </is>
      </c>
      <c r="U3" s="3" t="inlineStr">
        <is>
          <t>Accounts Payable</t>
        </is>
      </c>
      <c r="V3" s="3" t="inlineStr">
        <is>
          <t>Short-Term Debt</t>
        </is>
      </c>
      <c r="W3" s="3" t="inlineStr">
        <is>
          <t>Other Current Liabilities</t>
        </is>
      </c>
      <c r="X3" s="3" t="inlineStr">
        <is>
          <t>Total Current Liabilities</t>
        </is>
      </c>
      <c r="Y3" s="3" t="inlineStr">
        <is>
          <t>Long-Term Debt</t>
        </is>
      </c>
      <c r="Z3" s="3" t="inlineStr">
        <is>
          <t>Other Non-Current Liabilities</t>
        </is>
      </c>
      <c r="AA3" s="3" t="inlineStr">
        <is>
          <t>Total Liabilities</t>
        </is>
      </c>
      <c r="AB3" s="3" t="inlineStr">
        <is>
          <t>Shareholders Equity</t>
        </is>
      </c>
      <c r="AC3" s="3" t="inlineStr">
        <is>
          <t>Operating Cash Flow</t>
        </is>
      </c>
      <c r="AD3" s="3" t="inlineStr">
        <is>
          <t>Capital Expenditure</t>
        </is>
      </c>
      <c r="AE3" s="3" t="inlineStr">
        <is>
          <t>Investing Cash Flow</t>
        </is>
      </c>
      <c r="AF3" s="3" t="inlineStr">
        <is>
          <t>Financing Cash Flow</t>
        </is>
      </c>
      <c r="AG3" s="3" t="inlineStr">
        <is>
          <t>Cash Dividends</t>
        </is>
      </c>
      <c r="AH3" s="3" t="inlineStr">
        <is>
          <t>Shares Outstanding</t>
        </is>
      </c>
      <c r="AI3" s="3" t="inlineStr">
        <is>
          <t>Weighted Average Shares Outstanding</t>
        </is>
      </c>
      <c r="AJ3" s="3" t="inlineStr">
        <is>
          <t>Market Price Per Share</t>
        </is>
      </c>
      <c r="AK3" s="3" t="inlineStr">
        <is>
          <t>Preferred Dividends</t>
        </is>
      </c>
      <c r="AL3" s="3" t="inlineStr">
        <is>
          <t>Retained Earnings</t>
        </is>
      </c>
      <c r="AM3" s="3" t="inlineStr">
        <is>
          <t>Cash Interest Paid</t>
        </is>
      </c>
      <c r="AN3" s="3" t="inlineStr">
        <is>
          <t>Cash Taxes Paid</t>
        </is>
      </c>
      <c r="AO3" s="3" t="inlineStr">
        <is>
          <t>FX Effect on Cash</t>
        </is>
      </c>
    </row>
    <row r="4" ht="25" customHeight="1">
      <c r="A4" s="6" t="n">
        <v>2021</v>
      </c>
      <c r="B4" s="7" t="n">
        <v>1050000000</v>
      </c>
      <c r="C4" s="7" t="n">
        <v>682500000</v>
      </c>
      <c r="D4" s="7" t="n">
        <v>367500000</v>
      </c>
      <c r="E4" s="7" t="n">
        <v>178500000</v>
      </c>
      <c r="F4" s="7" t="n">
        <v>189000000</v>
      </c>
      <c r="G4" s="7" t="n">
        <v>30000000</v>
      </c>
      <c r="H4" s="7" t="n">
        <v>159000000</v>
      </c>
      <c r="I4" s="7" t="n">
        <v>18000000</v>
      </c>
      <c r="J4" s="7" t="n">
        <v>141000000</v>
      </c>
      <c r="K4" s="7" t="n">
        <v>35250000</v>
      </c>
      <c r="L4" s="7" t="n">
        <v>105750000</v>
      </c>
      <c r="M4" s="7" t="n">
        <v>98275000</v>
      </c>
      <c r="N4" s="7" t="n">
        <v>109315068.4931507</v>
      </c>
      <c r="O4" s="7" t="n">
        <v>119671232.8767123</v>
      </c>
      <c r="P4" s="7" t="n">
        <v>25000000</v>
      </c>
      <c r="Q4" s="7" t="n">
        <v>352261301.369863</v>
      </c>
      <c r="R4" s="7" t="n">
        <v>450000000</v>
      </c>
      <c r="S4" s="7" t="n">
        <v>122777397.260274</v>
      </c>
      <c r="T4" s="7" t="n">
        <v>925038698.630137</v>
      </c>
      <c r="U4" s="7" t="n">
        <v>86013698.63013698</v>
      </c>
      <c r="V4" s="7" t="n">
        <v>78000000</v>
      </c>
      <c r="W4" s="7" t="n">
        <v>35000000</v>
      </c>
      <c r="X4" s="7" t="n">
        <v>199013698.630137</v>
      </c>
      <c r="Y4" s="7" t="n">
        <v>182000000</v>
      </c>
      <c r="Z4" s="7" t="n">
        <v>40000000</v>
      </c>
      <c r="AA4" s="7" t="n">
        <v>421013698.630137</v>
      </c>
      <c r="AB4" s="7" t="n">
        <v>504025000</v>
      </c>
      <c r="AC4" s="7" t="n">
        <v>125000000</v>
      </c>
      <c r="AD4" s="7" t="n">
        <v>80000000</v>
      </c>
      <c r="AE4" s="7" t="n">
        <v>-80000000</v>
      </c>
      <c r="AF4" s="7" t="n">
        <v>-11725000</v>
      </c>
      <c r="AG4" s="7" t="n">
        <v>31725000</v>
      </c>
      <c r="AH4" s="8" t="n">
        <v>50000000</v>
      </c>
      <c r="AI4" s="8" t="n">
        <v>50000000</v>
      </c>
      <c r="AJ4" s="7" t="n">
        <v>24</v>
      </c>
      <c r="AK4" s="7" t="n">
        <v>0</v>
      </c>
      <c r="AL4" s="7" t="n">
        <v>104025000</v>
      </c>
      <c r="AM4" s="7" t="n">
        <v>18000000</v>
      </c>
      <c r="AN4" s="7" t="n">
        <v>35250000</v>
      </c>
      <c r="AO4" s="7" t="n">
        <v>0</v>
      </c>
    </row>
    <row r="5" ht="25" customHeight="1">
      <c r="A5" s="9" t="n">
        <v>2022</v>
      </c>
      <c r="B5" s="10" t="n">
        <v>1176000000</v>
      </c>
      <c r="C5" s="10" t="n">
        <v>771456000</v>
      </c>
      <c r="D5" s="10" t="n">
        <v>404544000</v>
      </c>
      <c r="E5" s="10" t="n">
        <v>199920000</v>
      </c>
      <c r="F5" s="10" t="n">
        <v>204624000</v>
      </c>
      <c r="G5" s="10" t="n">
        <v>33000000</v>
      </c>
      <c r="H5" s="10" t="n">
        <v>171624000</v>
      </c>
      <c r="I5" s="10" t="n">
        <v>22000000</v>
      </c>
      <c r="J5" s="10" t="n">
        <v>149624000</v>
      </c>
      <c r="K5" s="10" t="n">
        <v>37405999.99999999</v>
      </c>
      <c r="L5" s="10" t="n">
        <v>112218000</v>
      </c>
      <c r="M5" s="10" t="n">
        <v>139609600</v>
      </c>
      <c r="N5" s="10" t="n">
        <v>138542465.7534247</v>
      </c>
      <c r="O5" s="10" t="n">
        <v>137382575.3424657</v>
      </c>
      <c r="P5" s="10" t="n">
        <v>27000000</v>
      </c>
      <c r="Q5" s="10" t="n">
        <v>442534641.0958904</v>
      </c>
      <c r="R5" s="10" t="n">
        <v>507000000</v>
      </c>
      <c r="S5" s="10" t="n">
        <v>97267550.6849315</v>
      </c>
      <c r="T5" s="10" t="n">
        <v>1046802191.780822</v>
      </c>
      <c r="U5" s="10" t="n">
        <v>97224591.78082192</v>
      </c>
      <c r="V5" s="10" t="n">
        <v>87000000</v>
      </c>
      <c r="W5" s="10" t="n">
        <v>37000000</v>
      </c>
      <c r="X5" s="10" t="n">
        <v>221224591.7808219</v>
      </c>
      <c r="Y5" s="10" t="n">
        <v>203000000</v>
      </c>
      <c r="Z5" s="10" t="n">
        <v>40000000</v>
      </c>
      <c r="AA5" s="10" t="n">
        <v>464224591.7808219</v>
      </c>
      <c r="AB5" s="10" t="n">
        <v>582577600</v>
      </c>
      <c r="AC5" s="10" t="n">
        <v>135000000</v>
      </c>
      <c r="AD5" s="10" t="n">
        <v>90000000</v>
      </c>
      <c r="AE5" s="10" t="n">
        <v>-90000000</v>
      </c>
      <c r="AF5" s="10" t="n">
        <v>-3665399.999999991</v>
      </c>
      <c r="AG5" s="10" t="n">
        <v>33665399.99999999</v>
      </c>
      <c r="AH5" s="11" t="n">
        <v>50000000</v>
      </c>
      <c r="AI5" s="11" t="n">
        <v>50000000</v>
      </c>
      <c r="AJ5" s="10" t="n">
        <v>26</v>
      </c>
      <c r="AK5" s="10" t="n">
        <v>0</v>
      </c>
      <c r="AL5" s="10" t="n">
        <v>182577600</v>
      </c>
      <c r="AM5" s="10" t="n">
        <v>22000000</v>
      </c>
      <c r="AN5" s="10" t="n">
        <v>37405999.99999999</v>
      </c>
      <c r="AO5" s="10" t="n">
        <v>0</v>
      </c>
    </row>
    <row r="6" ht="25" customHeight="1">
      <c r="A6" s="6" t="n">
        <v>2023</v>
      </c>
      <c r="B6" s="7" t="n">
        <v>1320000000</v>
      </c>
      <c r="C6" s="7" t="n">
        <v>873840000</v>
      </c>
      <c r="D6" s="7" t="n">
        <v>446159999.9999999</v>
      </c>
      <c r="E6" s="7" t="n">
        <v>224400000</v>
      </c>
      <c r="F6" s="7" t="n">
        <v>221760000</v>
      </c>
      <c r="G6" s="7" t="n">
        <v>36000000</v>
      </c>
      <c r="H6" s="7" t="n">
        <v>185760000</v>
      </c>
      <c r="I6" s="7" t="n">
        <v>28000000</v>
      </c>
      <c r="J6" s="7" t="n">
        <v>157760000</v>
      </c>
      <c r="K6" s="7" t="n">
        <v>39439999.99999999</v>
      </c>
      <c r="L6" s="7" t="n">
        <v>118320000</v>
      </c>
      <c r="M6" s="7" t="n">
        <v>183113600</v>
      </c>
      <c r="N6" s="7" t="n">
        <v>177205479.4520548</v>
      </c>
      <c r="O6" s="7" t="n">
        <v>158009424.6575342</v>
      </c>
      <c r="P6" s="7" t="n">
        <v>29000000</v>
      </c>
      <c r="Q6" s="7" t="n">
        <v>547328504.1095891</v>
      </c>
      <c r="R6" s="7" t="n">
        <v>576000000</v>
      </c>
      <c r="S6" s="7" t="n">
        <v>56200876.71232852</v>
      </c>
      <c r="T6" s="7" t="n">
        <v>1179529380.821918</v>
      </c>
      <c r="U6" s="7" t="n">
        <v>110127780.8219178</v>
      </c>
      <c r="V6" s="7" t="n">
        <v>97500000</v>
      </c>
      <c r="W6" s="7" t="n">
        <v>39000000</v>
      </c>
      <c r="X6" s="7" t="n">
        <v>246627780.8219178</v>
      </c>
      <c r="Y6" s="7" t="n">
        <v>227500000</v>
      </c>
      <c r="Z6" s="7" t="n">
        <v>40000000</v>
      </c>
      <c r="AA6" s="7" t="n">
        <v>514127780.8219178</v>
      </c>
      <c r="AB6" s="7" t="n">
        <v>665401599.9999999</v>
      </c>
      <c r="AC6" s="7" t="n">
        <v>149000000</v>
      </c>
      <c r="AD6" s="7" t="n">
        <v>105000000</v>
      </c>
      <c r="AE6" s="7" t="n">
        <v>-105000000</v>
      </c>
      <c r="AF6" s="7" t="n">
        <v>-495999.999999988</v>
      </c>
      <c r="AG6" s="7" t="n">
        <v>35495999.99999999</v>
      </c>
      <c r="AH6" s="8" t="n">
        <v>50000000</v>
      </c>
      <c r="AI6" s="8" t="n">
        <v>50000000</v>
      </c>
      <c r="AJ6" s="7" t="n">
        <v>28</v>
      </c>
      <c r="AK6" s="7" t="n">
        <v>0</v>
      </c>
      <c r="AL6" s="7" t="n">
        <v>265401599.9999999</v>
      </c>
      <c r="AM6" s="7" t="n">
        <v>28000000</v>
      </c>
      <c r="AN6" s="7" t="n">
        <v>39439999.99999999</v>
      </c>
      <c r="AO6" s="7" t="n">
        <v>0</v>
      </c>
    </row>
    <row r="7" ht="25" customHeight="1">
      <c r="A7" s="9" t="n">
        <v>2024</v>
      </c>
      <c r="B7" s="10" t="n">
        <v>1485000000</v>
      </c>
      <c r="C7" s="10" t="n">
        <v>991980000</v>
      </c>
      <c r="D7" s="10" t="n">
        <v>493020000</v>
      </c>
      <c r="E7" s="10" t="n">
        <v>252450000</v>
      </c>
      <c r="F7" s="10" t="n">
        <v>240570000</v>
      </c>
      <c r="G7" s="10" t="n">
        <v>39000000</v>
      </c>
      <c r="H7" s="10" t="n">
        <v>201570000</v>
      </c>
      <c r="I7" s="10" t="n">
        <v>35000000</v>
      </c>
      <c r="J7" s="10" t="n">
        <v>166570000</v>
      </c>
      <c r="K7" s="10" t="n">
        <v>41642499.99999999</v>
      </c>
      <c r="L7" s="10" t="n">
        <v>124927500</v>
      </c>
      <c r="M7" s="10" t="n">
        <v>232635350</v>
      </c>
      <c r="N7" s="10" t="n">
        <v>227835616.4383562</v>
      </c>
      <c r="O7" s="10" t="n">
        <v>184807232.8767123</v>
      </c>
      <c r="P7" s="10" t="n">
        <v>31000000</v>
      </c>
      <c r="Q7" s="10" t="n">
        <v>676278199.3150685</v>
      </c>
      <c r="R7" s="10" t="n">
        <v>652000000</v>
      </c>
      <c r="S7" s="10" t="n">
        <v>-4410691.780821822</v>
      </c>
      <c r="T7" s="10" t="n">
        <v>1323867507.534247</v>
      </c>
      <c r="U7" s="10" t="n">
        <v>125016657.5342466</v>
      </c>
      <c r="V7" s="10" t="n">
        <v>109500000</v>
      </c>
      <c r="W7" s="10" t="n">
        <v>41000000</v>
      </c>
      <c r="X7" s="10" t="n">
        <v>275516657.5342466</v>
      </c>
      <c r="Y7" s="10" t="n">
        <v>255500000</v>
      </c>
      <c r="Z7" s="10" t="n">
        <v>40000000</v>
      </c>
      <c r="AA7" s="10" t="n">
        <v>571016657.5342467</v>
      </c>
      <c r="AB7" s="10" t="n">
        <v>752850849.9999999</v>
      </c>
      <c r="AC7" s="10" t="n">
        <v>162000000</v>
      </c>
      <c r="AD7" s="10" t="n">
        <v>115000000</v>
      </c>
      <c r="AE7" s="10" t="n">
        <v>-115000000</v>
      </c>
      <c r="AF7" s="10" t="n">
        <v>2521750.000000004</v>
      </c>
      <c r="AG7" s="10" t="n">
        <v>37478249.99999999</v>
      </c>
      <c r="AH7" s="11" t="n">
        <v>50000000</v>
      </c>
      <c r="AI7" s="11" t="n">
        <v>50000000</v>
      </c>
      <c r="AJ7" s="10" t="n">
        <v>30</v>
      </c>
      <c r="AK7" s="10" t="n">
        <v>0</v>
      </c>
      <c r="AL7" s="10" t="n">
        <v>352850849.9999999</v>
      </c>
      <c r="AM7" s="10" t="n">
        <v>35000000</v>
      </c>
      <c r="AN7" s="10" t="n">
        <v>41642499.99999999</v>
      </c>
      <c r="AO7" s="10" t="n">
        <v>0</v>
      </c>
    </row>
    <row r="8" ht="25" customHeight="1">
      <c r="A8" s="6" t="n">
        <v>2025</v>
      </c>
      <c r="B8" s="7" t="n">
        <v>1670000000</v>
      </c>
      <c r="C8" s="7" t="n">
        <v>1125580000</v>
      </c>
      <c r="D8" s="7" t="n">
        <v>544419999.9999999</v>
      </c>
      <c r="E8" s="7" t="n">
        <v>283900000.0000001</v>
      </c>
      <c r="F8" s="7" t="n">
        <v>260519999.9999998</v>
      </c>
      <c r="G8" s="7" t="n">
        <v>42000000</v>
      </c>
      <c r="H8" s="7" t="n">
        <v>218519999.9999998</v>
      </c>
      <c r="I8" s="7" t="n">
        <v>43000000</v>
      </c>
      <c r="J8" s="7" t="n">
        <v>175519999.9999998</v>
      </c>
      <c r="K8" s="7" t="n">
        <v>43879999.99999996</v>
      </c>
      <c r="L8" s="7" t="n">
        <v>131639999.9999999</v>
      </c>
      <c r="M8" s="7" t="n">
        <v>288143350.0000001</v>
      </c>
      <c r="N8" s="7" t="n">
        <v>292821917.8082191</v>
      </c>
      <c r="O8" s="7" t="n">
        <v>215864657.5342466</v>
      </c>
      <c r="P8" s="7" t="n">
        <v>33000000</v>
      </c>
      <c r="Q8" s="7" t="n">
        <v>829829925.3424658</v>
      </c>
      <c r="R8" s="7" t="n">
        <v>740000000</v>
      </c>
      <c r="S8" s="7" t="n">
        <v>-89977157.53424665</v>
      </c>
      <c r="T8" s="7" t="n">
        <v>1479852767.808219</v>
      </c>
      <c r="U8" s="7" t="n">
        <v>141853917.8082192</v>
      </c>
      <c r="V8" s="7" t="n">
        <v>123000000</v>
      </c>
      <c r="W8" s="7" t="n">
        <v>43000000</v>
      </c>
      <c r="X8" s="7" t="n">
        <v>307853917.8082192</v>
      </c>
      <c r="Y8" s="7" t="n">
        <v>287000000</v>
      </c>
      <c r="Z8" s="7" t="n">
        <v>40000000</v>
      </c>
      <c r="AA8" s="7" t="n">
        <v>634853917.8082192</v>
      </c>
      <c r="AB8" s="7" t="n">
        <v>844998849.9999999</v>
      </c>
      <c r="AC8" s="7" t="n">
        <v>180000000</v>
      </c>
      <c r="AD8" s="7" t="n">
        <v>130000000</v>
      </c>
      <c r="AE8" s="7" t="n">
        <v>-130000000</v>
      </c>
      <c r="AF8" s="7" t="n">
        <v>5508000.000000038</v>
      </c>
      <c r="AG8" s="7" t="n">
        <v>39491999.99999996</v>
      </c>
      <c r="AH8" s="8" t="n">
        <v>50000000</v>
      </c>
      <c r="AI8" s="8" t="n">
        <v>50000000</v>
      </c>
      <c r="AJ8" s="7" t="n">
        <v>32</v>
      </c>
      <c r="AK8" s="7" t="n">
        <v>0</v>
      </c>
      <c r="AL8" s="7" t="n">
        <v>444998849.9999998</v>
      </c>
      <c r="AM8" s="7" t="n">
        <v>43000000</v>
      </c>
      <c r="AN8" s="7" t="n">
        <v>43879999.99999996</v>
      </c>
      <c r="AO8" s="7" t="n">
        <v>0</v>
      </c>
    </row>
  </sheetData>
  <autoFilter ref="A3:AO8"/>
  <mergeCells count="2">
    <mergeCell ref="A2:AO2"/>
    <mergeCell ref="A1:AO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1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Income Statement</t>
        </is>
      </c>
    </row>
    <row r="2" ht="36" customHeight="1">
      <c r="A2" s="2" t="inlineStr">
        <is>
          <t>Apex Consumer Industries Ltd. · BDT · FY2021–FY2025 · Values-only snapshot; rerun Falcon Finalysis after input changes.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Revenue</t>
        </is>
      </c>
      <c r="B4" s="7" t="n">
        <v>1050000000</v>
      </c>
      <c r="C4" s="7" t="n">
        <v>1176000000</v>
      </c>
      <c r="D4" s="7" t="n">
        <v>1320000000</v>
      </c>
      <c r="E4" s="7" t="n">
        <v>1485000000</v>
      </c>
      <c r="F4" s="7" t="n">
        <v>1670000000</v>
      </c>
    </row>
    <row r="5" ht="25" customHeight="1">
      <c r="A5" s="5" t="inlineStr">
        <is>
          <t>COGS</t>
        </is>
      </c>
      <c r="B5" s="10" t="n">
        <v>682500000</v>
      </c>
      <c r="C5" s="10" t="n">
        <v>771456000</v>
      </c>
      <c r="D5" s="10" t="n">
        <v>873840000</v>
      </c>
      <c r="E5" s="10" t="n">
        <v>991980000</v>
      </c>
      <c r="F5" s="10" t="n">
        <v>1125580000</v>
      </c>
    </row>
    <row r="6" ht="25" customHeight="1">
      <c r="A6" s="4" t="inlineStr">
        <is>
          <t>Gross Profit</t>
        </is>
      </c>
      <c r="B6" s="7" t="n">
        <v>367500000</v>
      </c>
      <c r="C6" s="7" t="n">
        <v>404544000</v>
      </c>
      <c r="D6" s="7" t="n">
        <v>446159999.9999999</v>
      </c>
      <c r="E6" s="7" t="n">
        <v>493020000</v>
      </c>
      <c r="F6" s="7" t="n">
        <v>544419999.9999999</v>
      </c>
    </row>
    <row r="7" ht="25" customHeight="1">
      <c r="A7" s="5" t="inlineStr">
        <is>
          <t>Operating Expenses</t>
        </is>
      </c>
      <c r="B7" s="10" t="n">
        <v>178500000</v>
      </c>
      <c r="C7" s="10" t="n">
        <v>199920000</v>
      </c>
      <c r="D7" s="10" t="n">
        <v>224400000</v>
      </c>
      <c r="E7" s="10" t="n">
        <v>252450000</v>
      </c>
      <c r="F7" s="10" t="n">
        <v>283900000.0000001</v>
      </c>
    </row>
    <row r="8" ht="25" customHeight="1">
      <c r="A8" s="4" t="inlineStr">
        <is>
          <t>EBITDA</t>
        </is>
      </c>
      <c r="B8" s="7" t="n">
        <v>189000000</v>
      </c>
      <c r="C8" s="7" t="n">
        <v>204624000</v>
      </c>
      <c r="D8" s="7" t="n">
        <v>221760000</v>
      </c>
      <c r="E8" s="7" t="n">
        <v>240570000</v>
      </c>
      <c r="F8" s="7" t="n">
        <v>260519999.9999998</v>
      </c>
    </row>
    <row r="9" ht="25" customHeight="1">
      <c r="A9" s="5" t="inlineStr">
        <is>
          <t>Depreciation</t>
        </is>
      </c>
      <c r="B9" s="10" t="n">
        <v>30000000</v>
      </c>
      <c r="C9" s="10" t="n">
        <v>33000000</v>
      </c>
      <c r="D9" s="10" t="n">
        <v>36000000</v>
      </c>
      <c r="E9" s="10" t="n">
        <v>39000000</v>
      </c>
      <c r="F9" s="10" t="n">
        <v>42000000</v>
      </c>
    </row>
    <row r="10" ht="25" customHeight="1">
      <c r="A10" s="4" t="inlineStr">
        <is>
          <t>EBIT</t>
        </is>
      </c>
      <c r="B10" s="7" t="n">
        <v>159000000</v>
      </c>
      <c r="C10" s="7" t="n">
        <v>171624000</v>
      </c>
      <c r="D10" s="7" t="n">
        <v>185760000</v>
      </c>
      <c r="E10" s="7" t="n">
        <v>201570000</v>
      </c>
      <c r="F10" s="7" t="n">
        <v>218519999.9999998</v>
      </c>
    </row>
    <row r="11" ht="25" customHeight="1">
      <c r="A11" s="5" t="inlineStr">
        <is>
          <t>Interest Expense</t>
        </is>
      </c>
      <c r="B11" s="10" t="n">
        <v>18000000</v>
      </c>
      <c r="C11" s="10" t="n">
        <v>22000000</v>
      </c>
      <c r="D11" s="10" t="n">
        <v>28000000</v>
      </c>
      <c r="E11" s="10" t="n">
        <v>35000000</v>
      </c>
      <c r="F11" s="10" t="n">
        <v>43000000</v>
      </c>
    </row>
    <row r="12" ht="25" customHeight="1">
      <c r="A12" s="4" t="inlineStr">
        <is>
          <t>EBT</t>
        </is>
      </c>
      <c r="B12" s="7" t="n">
        <v>141000000</v>
      </c>
      <c r="C12" s="7" t="n">
        <v>149624000</v>
      </c>
      <c r="D12" s="7" t="n">
        <v>157760000</v>
      </c>
      <c r="E12" s="7" t="n">
        <v>166570000</v>
      </c>
      <c r="F12" s="7" t="n">
        <v>175519999.9999998</v>
      </c>
    </row>
    <row r="13" ht="25" customHeight="1">
      <c r="A13" s="5" t="inlineStr">
        <is>
          <t>Tax Expense</t>
        </is>
      </c>
      <c r="B13" s="10" t="n">
        <v>35250000</v>
      </c>
      <c r="C13" s="10" t="n">
        <v>37405999.99999999</v>
      </c>
      <c r="D13" s="10" t="n">
        <v>39439999.99999999</v>
      </c>
      <c r="E13" s="10" t="n">
        <v>41642499.99999999</v>
      </c>
      <c r="F13" s="10" t="n">
        <v>43879999.99999996</v>
      </c>
    </row>
    <row r="14" ht="25" customHeight="1">
      <c r="A14" s="4" t="inlineStr">
        <is>
          <t>Net Income</t>
        </is>
      </c>
      <c r="B14" s="7" t="n">
        <v>105750000</v>
      </c>
      <c r="C14" s="7" t="n">
        <v>112218000</v>
      </c>
      <c r="D14" s="7" t="n">
        <v>118320000</v>
      </c>
      <c r="E14" s="7" t="n">
        <v>124927500</v>
      </c>
      <c r="F14" s="7" t="n">
        <v>131639999.9999999</v>
      </c>
    </row>
  </sheetData>
  <autoFilter ref="A3:F14"/>
  <mergeCells count="2">
    <mergeCell ref="A2:F2"/>
    <mergeCell ref="A1:F1"/>
  </mergeCells>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F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Balance Sheet</t>
        </is>
      </c>
    </row>
    <row r="2" ht="36" customHeight="1">
      <c r="A2" s="2" t="inlineStr">
        <is>
          <t>Apex Consumer Industries Ltd. · BDT · FY2021–FY2025 · Values-only snapshot; rerun Falcon Finalysis after input changes.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Cash</t>
        </is>
      </c>
      <c r="B4" s="7" t="n">
        <v>98275000</v>
      </c>
      <c r="C4" s="7" t="n">
        <v>139609600</v>
      </c>
      <c r="D4" s="7" t="n">
        <v>183113600</v>
      </c>
      <c r="E4" s="7" t="n">
        <v>232635350</v>
      </c>
      <c r="F4" s="7" t="n">
        <v>288143350.0000001</v>
      </c>
    </row>
    <row r="5" ht="25" customHeight="1">
      <c r="A5" s="5" t="inlineStr">
        <is>
          <t>Accounts Receivable</t>
        </is>
      </c>
      <c r="B5" s="10" t="n">
        <v>109315068.4931507</v>
      </c>
      <c r="C5" s="10" t="n">
        <v>138542465.7534247</v>
      </c>
      <c r="D5" s="10" t="n">
        <v>177205479.4520548</v>
      </c>
      <c r="E5" s="10" t="n">
        <v>227835616.4383562</v>
      </c>
      <c r="F5" s="10" t="n">
        <v>292821917.8082191</v>
      </c>
    </row>
    <row r="6" ht="25" customHeight="1">
      <c r="A6" s="4" t="inlineStr">
        <is>
          <t>Inventory</t>
        </is>
      </c>
      <c r="B6" s="7" t="n">
        <v>119671232.8767123</v>
      </c>
      <c r="C6" s="7" t="n">
        <v>137382575.3424657</v>
      </c>
      <c r="D6" s="7" t="n">
        <v>158009424.6575342</v>
      </c>
      <c r="E6" s="7" t="n">
        <v>184807232.8767123</v>
      </c>
      <c r="F6" s="7" t="n">
        <v>215864657.5342466</v>
      </c>
    </row>
    <row r="7" ht="25" customHeight="1">
      <c r="A7" s="5" t="inlineStr">
        <is>
          <t>Other Current Assets</t>
        </is>
      </c>
      <c r="B7" s="10" t="n">
        <v>25000000</v>
      </c>
      <c r="C7" s="10" t="n">
        <v>27000000</v>
      </c>
      <c r="D7" s="10" t="n">
        <v>29000000</v>
      </c>
      <c r="E7" s="10" t="n">
        <v>31000000</v>
      </c>
      <c r="F7" s="10" t="n">
        <v>33000000</v>
      </c>
    </row>
    <row r="8" ht="25" customHeight="1">
      <c r="A8" s="4" t="inlineStr">
        <is>
          <t>Total Current Assets</t>
        </is>
      </c>
      <c r="B8" s="7" t="n">
        <v>352261301.369863</v>
      </c>
      <c r="C8" s="7" t="n">
        <v>442534641.0958904</v>
      </c>
      <c r="D8" s="7" t="n">
        <v>547328504.1095891</v>
      </c>
      <c r="E8" s="7" t="n">
        <v>676278199.3150685</v>
      </c>
      <c r="F8" s="7" t="n">
        <v>829829925.3424658</v>
      </c>
    </row>
    <row r="9" ht="25" customHeight="1">
      <c r="A9" s="5" t="inlineStr">
        <is>
          <t>Property Plant Equipment</t>
        </is>
      </c>
      <c r="B9" s="10" t="n">
        <v>450000000</v>
      </c>
      <c r="C9" s="10" t="n">
        <v>507000000</v>
      </c>
      <c r="D9" s="10" t="n">
        <v>576000000</v>
      </c>
      <c r="E9" s="10" t="n">
        <v>652000000</v>
      </c>
      <c r="F9" s="10" t="n">
        <v>740000000</v>
      </c>
    </row>
    <row r="10" ht="25" customHeight="1">
      <c r="A10" s="4" t="inlineStr">
        <is>
          <t>Other Non-Current Assets</t>
        </is>
      </c>
      <c r="B10" s="7" t="n">
        <v>122777397.260274</v>
      </c>
      <c r="C10" s="7" t="n">
        <v>97267550.6849315</v>
      </c>
      <c r="D10" s="7" t="n">
        <v>56200876.71232852</v>
      </c>
      <c r="E10" s="7" t="n">
        <v>-4410691.780821822</v>
      </c>
      <c r="F10" s="7" t="n">
        <v>-89977157.53424665</v>
      </c>
    </row>
    <row r="11" ht="25" customHeight="1">
      <c r="A11" s="5" t="inlineStr">
        <is>
          <t>Total Assets</t>
        </is>
      </c>
      <c r="B11" s="10" t="n">
        <v>925038698.630137</v>
      </c>
      <c r="C11" s="10" t="n">
        <v>1046802191.780822</v>
      </c>
      <c r="D11" s="10" t="n">
        <v>1179529380.821918</v>
      </c>
      <c r="E11" s="10" t="n">
        <v>1323867507.534247</v>
      </c>
      <c r="F11" s="10" t="n">
        <v>1479852767.808219</v>
      </c>
    </row>
    <row r="12" ht="25" customHeight="1">
      <c r="A12" s="4" t="inlineStr">
        <is>
          <t>Accounts Payable</t>
        </is>
      </c>
      <c r="B12" s="7" t="n">
        <v>86013698.63013698</v>
      </c>
      <c r="C12" s="7" t="n">
        <v>97224591.78082192</v>
      </c>
      <c r="D12" s="7" t="n">
        <v>110127780.8219178</v>
      </c>
      <c r="E12" s="7" t="n">
        <v>125016657.5342466</v>
      </c>
      <c r="F12" s="7" t="n">
        <v>141853917.8082192</v>
      </c>
    </row>
    <row r="13" ht="25" customHeight="1">
      <c r="A13" s="5" t="inlineStr">
        <is>
          <t>Short-Term Debt</t>
        </is>
      </c>
      <c r="B13" s="10" t="n">
        <v>78000000</v>
      </c>
      <c r="C13" s="10" t="n">
        <v>87000000</v>
      </c>
      <c r="D13" s="10" t="n">
        <v>97500000</v>
      </c>
      <c r="E13" s="10" t="n">
        <v>109500000</v>
      </c>
      <c r="F13" s="10" t="n">
        <v>123000000</v>
      </c>
    </row>
    <row r="14" ht="25" customHeight="1">
      <c r="A14" s="4" t="inlineStr">
        <is>
          <t>Other Current Liabilities</t>
        </is>
      </c>
      <c r="B14" s="7" t="n">
        <v>35000000</v>
      </c>
      <c r="C14" s="7" t="n">
        <v>37000000</v>
      </c>
      <c r="D14" s="7" t="n">
        <v>39000000</v>
      </c>
      <c r="E14" s="7" t="n">
        <v>41000000</v>
      </c>
      <c r="F14" s="7" t="n">
        <v>43000000</v>
      </c>
    </row>
    <row r="15" ht="25" customHeight="1">
      <c r="A15" s="5" t="inlineStr">
        <is>
          <t>Total Current Liabilities</t>
        </is>
      </c>
      <c r="B15" s="10" t="n">
        <v>199013698.630137</v>
      </c>
      <c r="C15" s="10" t="n">
        <v>221224591.7808219</v>
      </c>
      <c r="D15" s="10" t="n">
        <v>246627780.8219178</v>
      </c>
      <c r="E15" s="10" t="n">
        <v>275516657.5342466</v>
      </c>
      <c r="F15" s="10" t="n">
        <v>307853917.8082192</v>
      </c>
    </row>
    <row r="16" ht="25" customHeight="1">
      <c r="A16" s="4" t="inlineStr">
        <is>
          <t>Long-Term Debt</t>
        </is>
      </c>
      <c r="B16" s="7" t="n">
        <v>182000000</v>
      </c>
      <c r="C16" s="7" t="n">
        <v>203000000</v>
      </c>
      <c r="D16" s="7" t="n">
        <v>227500000</v>
      </c>
      <c r="E16" s="7" t="n">
        <v>255500000</v>
      </c>
      <c r="F16" s="7" t="n">
        <v>287000000</v>
      </c>
    </row>
    <row r="17" ht="25" customHeight="1">
      <c r="A17" s="5" t="inlineStr">
        <is>
          <t>Other Non-Current Liabilities</t>
        </is>
      </c>
      <c r="B17" s="10" t="n">
        <v>40000000</v>
      </c>
      <c r="C17" s="10" t="n">
        <v>40000000</v>
      </c>
      <c r="D17" s="10" t="n">
        <v>40000000</v>
      </c>
      <c r="E17" s="10" t="n">
        <v>40000000</v>
      </c>
      <c r="F17" s="10" t="n">
        <v>40000000</v>
      </c>
    </row>
    <row r="18" ht="25" customHeight="1">
      <c r="A18" s="4" t="inlineStr">
        <is>
          <t>Total Liabilities</t>
        </is>
      </c>
      <c r="B18" s="7" t="n">
        <v>421013698.630137</v>
      </c>
      <c r="C18" s="7" t="n">
        <v>464224591.7808219</v>
      </c>
      <c r="D18" s="7" t="n">
        <v>514127780.8219178</v>
      </c>
      <c r="E18" s="7" t="n">
        <v>571016657.5342467</v>
      </c>
      <c r="F18" s="7" t="n">
        <v>634853917.8082192</v>
      </c>
    </row>
    <row r="19" ht="25" customHeight="1">
      <c r="A19" s="5" t="inlineStr">
        <is>
          <t>Shareholders Equity</t>
        </is>
      </c>
      <c r="B19" s="10" t="n">
        <v>504025000</v>
      </c>
      <c r="C19" s="10" t="n">
        <v>582577600</v>
      </c>
      <c r="D19" s="10" t="n">
        <v>665401599.9999999</v>
      </c>
      <c r="E19" s="10" t="n">
        <v>752850849.9999999</v>
      </c>
      <c r="F19" s="10" t="n">
        <v>844998849.9999999</v>
      </c>
    </row>
  </sheetData>
  <autoFilter ref="A3:F19"/>
  <mergeCells count="2">
    <mergeCell ref="A2:F2"/>
    <mergeCell ref="A1:F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Cash Flow</t>
        </is>
      </c>
    </row>
    <row r="2" ht="36" customHeight="1">
      <c r="A2" s="2" t="inlineStr">
        <is>
          <t>Apex Consumer Industries Ltd. · BDT · FY2021–FY2025 · Values-only snapshot; rerun Falcon Finalysis after input changes.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Operating Cash Flow</t>
        </is>
      </c>
      <c r="B4" s="7" t="n">
        <v>125000000</v>
      </c>
      <c r="C4" s="7" t="n">
        <v>135000000</v>
      </c>
      <c r="D4" s="7" t="n">
        <v>149000000</v>
      </c>
      <c r="E4" s="7" t="n">
        <v>162000000</v>
      </c>
      <c r="F4" s="7" t="n">
        <v>180000000</v>
      </c>
    </row>
    <row r="5" ht="25" customHeight="1">
      <c r="A5" s="5" t="inlineStr">
        <is>
          <t>Capital Expenditure</t>
        </is>
      </c>
      <c r="B5" s="10" t="n">
        <v>80000000</v>
      </c>
      <c r="C5" s="10" t="n">
        <v>90000000</v>
      </c>
      <c r="D5" s="10" t="n">
        <v>105000000</v>
      </c>
      <c r="E5" s="10" t="n">
        <v>115000000</v>
      </c>
      <c r="F5" s="10" t="n">
        <v>130000000</v>
      </c>
    </row>
    <row r="6" ht="25" customHeight="1">
      <c r="A6" s="4" t="inlineStr">
        <is>
          <t>Investing Cash Flow</t>
        </is>
      </c>
      <c r="B6" s="7" t="n">
        <v>-80000000</v>
      </c>
      <c r="C6" s="7" t="n">
        <v>-90000000</v>
      </c>
      <c r="D6" s="7" t="n">
        <v>-105000000</v>
      </c>
      <c r="E6" s="7" t="n">
        <v>-115000000</v>
      </c>
      <c r="F6" s="7" t="n">
        <v>-130000000</v>
      </c>
    </row>
    <row r="7" ht="25" customHeight="1">
      <c r="A7" s="5" t="inlineStr">
        <is>
          <t>Financing Cash Flow</t>
        </is>
      </c>
      <c r="B7" s="10" t="n">
        <v>-11725000</v>
      </c>
      <c r="C7" s="10" t="n">
        <v>-3665399.999999991</v>
      </c>
      <c r="D7" s="10" t="n">
        <v>-495999.999999988</v>
      </c>
      <c r="E7" s="10" t="n">
        <v>2521750.000000004</v>
      </c>
      <c r="F7" s="10" t="n">
        <v>5508000.000000038</v>
      </c>
    </row>
    <row r="8" ht="25" customHeight="1">
      <c r="A8" s="4" t="inlineStr">
        <is>
          <t>Cash Dividends</t>
        </is>
      </c>
      <c r="B8" s="7" t="n">
        <v>31725000</v>
      </c>
      <c r="C8" s="7" t="n">
        <v>33665399.99999999</v>
      </c>
      <c r="D8" s="7" t="n">
        <v>35495999.99999999</v>
      </c>
      <c r="E8" s="7" t="n">
        <v>37478249.99999999</v>
      </c>
      <c r="F8" s="7" t="n">
        <v>39491999.99999996</v>
      </c>
    </row>
  </sheetData>
  <autoFilter ref="A3:F8"/>
  <mergeCells count="2">
    <mergeCell ref="A2:F2"/>
    <mergeCell ref="A1:F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F4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Ratios</t>
        </is>
      </c>
    </row>
    <row r="2" ht="38" customHeight="1">
      <c r="A2" s="2" t="inlineStr">
        <is>
          <t>First-year average-balance ratios use ending balances because opening balances are unavailable. Later years use the mean of consecutive opening and closing balances. Revenue proxies credit sales; COGS proxies purchases. Full fiscal years use 365 days.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Current Ratio</t>
        </is>
      </c>
      <c r="B4" s="12" t="n">
        <v>1.770035448788546</v>
      </c>
      <c r="C4" s="12" t="n">
        <v>2.000386293104029</v>
      </c>
      <c r="D4" s="12" t="n">
        <v>2.219249195226704</v>
      </c>
      <c r="E4" s="12" t="n">
        <v>2.454581894856965</v>
      </c>
      <c r="F4" s="12" t="n">
        <v>2.695531475611809</v>
      </c>
    </row>
    <row r="5" ht="25" customHeight="1">
      <c r="A5" s="5" t="inlineStr">
        <is>
          <t>Quick Ratio</t>
        </is>
      </c>
      <c r="B5" s="13" t="n">
        <v>1.168713862885463</v>
      </c>
      <c r="C5" s="13" t="n">
        <v>1.379376783100831</v>
      </c>
      <c r="D5" s="13" t="n">
        <v>1.578569446453277</v>
      </c>
      <c r="E5" s="13" t="n">
        <v>1.783815798423246</v>
      </c>
      <c r="F5" s="13" t="n">
        <v>1.994339627636947</v>
      </c>
    </row>
    <row r="6" ht="25" customHeight="1">
      <c r="A6" s="4" t="inlineStr">
        <is>
          <t>Cash Ratio</t>
        </is>
      </c>
      <c r="B6" s="12" t="n">
        <v>0.4938102285242291</v>
      </c>
      <c r="C6" s="12" t="n">
        <v>0.6310763142386905</v>
      </c>
      <c r="D6" s="12" t="n">
        <v>0.7424694792685201</v>
      </c>
      <c r="E6" s="12" t="n">
        <v>0.8443603812632766</v>
      </c>
      <c r="F6" s="12" t="n">
        <v>0.935974283034793</v>
      </c>
    </row>
    <row r="7" ht="25" customHeight="1">
      <c r="A7" s="5" t="inlineStr">
        <is>
          <t>Operating Cash Flow Ratio</t>
        </is>
      </c>
      <c r="B7" s="13" t="n">
        <v>0.6280974669603524</v>
      </c>
      <c r="C7" s="13" t="n">
        <v>0.6102395710769404</v>
      </c>
      <c r="D7" s="13" t="n">
        <v>0.6041492953609644</v>
      </c>
      <c r="E7" s="13" t="n">
        <v>0.58798622722063</v>
      </c>
      <c r="F7" s="13" t="n">
        <v>0.584692900066105</v>
      </c>
    </row>
    <row r="8" ht="25" customHeight="1">
      <c r="A8" s="4" t="inlineStr">
        <is>
          <t>Gross Profit Margin</t>
        </is>
      </c>
      <c r="B8" s="14" t="n">
        <v>0.35</v>
      </c>
      <c r="C8" s="14" t="n">
        <v>0.344</v>
      </c>
      <c r="D8" s="14" t="n">
        <v>0.338</v>
      </c>
      <c r="E8" s="14" t="n">
        <v>0.332</v>
      </c>
      <c r="F8" s="14" t="n">
        <v>0.3259999999999999</v>
      </c>
    </row>
    <row r="9" ht="25" customHeight="1">
      <c r="A9" s="5" t="inlineStr">
        <is>
          <t>Operating Margin</t>
        </is>
      </c>
      <c r="B9" s="15" t="n">
        <v>0.1514285714285714</v>
      </c>
      <c r="C9" s="15" t="n">
        <v>0.1459387755102041</v>
      </c>
      <c r="D9" s="15" t="n">
        <v>0.1407272727272727</v>
      </c>
      <c r="E9" s="15" t="n">
        <v>0.1357373737373737</v>
      </c>
      <c r="F9" s="15" t="n">
        <v>0.1308502994011975</v>
      </c>
    </row>
    <row r="10" ht="25" customHeight="1">
      <c r="A10" s="4" t="inlineStr">
        <is>
          <t>EBITDA Margin</t>
        </is>
      </c>
      <c r="B10" s="14" t="n">
        <v>0.18</v>
      </c>
      <c r="C10" s="14" t="n">
        <v>0.174</v>
      </c>
      <c r="D10" s="14" t="n">
        <v>0.168</v>
      </c>
      <c r="E10" s="14" t="n">
        <v>0.162</v>
      </c>
      <c r="F10" s="14" t="n">
        <v>0.1559999999999999</v>
      </c>
    </row>
    <row r="11" ht="25" customHeight="1">
      <c r="A11" s="5" t="inlineStr">
        <is>
          <t>Net Profit Margin</t>
        </is>
      </c>
      <c r="B11" s="15" t="n">
        <v>0.1007142857142857</v>
      </c>
      <c r="C11" s="15" t="n">
        <v>0.09542346938775507</v>
      </c>
      <c r="D11" s="15" t="n">
        <v>0.08963636363636361</v>
      </c>
      <c r="E11" s="15" t="n">
        <v>0.08412626262626262</v>
      </c>
      <c r="F11" s="15" t="n">
        <v>0.07882634730538914</v>
      </c>
    </row>
    <row r="12" ht="25" customHeight="1">
      <c r="A12" s="4" t="inlineStr">
        <is>
          <t>ROA</t>
        </is>
      </c>
      <c r="B12" s="14" t="n">
        <v>0.1143195416111803</v>
      </c>
      <c r="C12" s="14" t="n">
        <v>0.1138205425657972</v>
      </c>
      <c r="D12" s="14" t="n">
        <v>0.1062914450444374</v>
      </c>
      <c r="E12" s="14" t="n">
        <v>0.09980638753772092</v>
      </c>
      <c r="F12" s="14" t="n">
        <v>0.09390380428298643</v>
      </c>
    </row>
    <row r="13" ht="25" customHeight="1">
      <c r="A13" s="5" t="inlineStr">
        <is>
          <t>ROE</t>
        </is>
      </c>
      <c r="B13" s="15" t="n">
        <v>0.2098110212787064</v>
      </c>
      <c r="C13" s="15" t="n">
        <v>0.2065483738028972</v>
      </c>
      <c r="D13" s="15" t="n">
        <v>0.1896185449244666</v>
      </c>
      <c r="E13" s="15" t="n">
        <v>0.1761710335843241</v>
      </c>
      <c r="F13" s="15" t="n">
        <v>0.1647714425205323</v>
      </c>
    </row>
    <row r="14" ht="25" customHeight="1">
      <c r="A14" s="4" t="inlineStr">
        <is>
          <t>ROCE</t>
        </is>
      </c>
      <c r="B14" s="14" t="n">
        <v>0.2190007231155952</v>
      </c>
      <c r="C14" s="14" t="n">
        <v>0.2078835472280255</v>
      </c>
      <c r="D14" s="14" t="n">
        <v>0.1991206789654986</v>
      </c>
      <c r="E14" s="14" t="n">
        <v>0.1922734168623033</v>
      </c>
      <c r="F14" s="14" t="n">
        <v>0.1864506948961595</v>
      </c>
    </row>
    <row r="15" ht="25" customHeight="1">
      <c r="A15" s="5" t="inlineStr">
        <is>
          <t>Asset Turnover</t>
        </is>
      </c>
      <c r="B15" s="13" t="n">
        <v>1.135087647203209</v>
      </c>
      <c r="C15" s="13" t="n">
        <v>1.192794008602698</v>
      </c>
      <c r="D15" s="13" t="n">
        <v>1.185807196236117</v>
      </c>
      <c r="E15" s="13" t="n">
        <v>1.186387988981734</v>
      </c>
      <c r="F15" s="13" t="n">
        <v>1.191274332669306</v>
      </c>
    </row>
    <row r="16" ht="25" customHeight="1">
      <c r="A16" s="4" t="inlineStr">
        <is>
          <t>Inventory Turnover</t>
        </is>
      </c>
      <c r="B16" s="12" t="n">
        <v>5.703125</v>
      </c>
      <c r="C16" s="12" t="n">
        <v>6.002291935252829</v>
      </c>
      <c r="D16" s="12" t="n">
        <v>5.916477088072798</v>
      </c>
      <c r="E16" s="12" t="n">
        <v>5.787233369200583</v>
      </c>
      <c r="F16" s="12" t="n">
        <v>5.618462522267393</v>
      </c>
    </row>
    <row r="17" ht="25" customHeight="1">
      <c r="A17" s="5" t="inlineStr">
        <is>
          <t>Receivables Turnover</t>
        </is>
      </c>
      <c r="B17" s="13" t="n">
        <v>9.605263157894736</v>
      </c>
      <c r="C17" s="13" t="n">
        <v>9.489322191272052</v>
      </c>
      <c r="D17" s="13" t="n">
        <v>8.361099541857557</v>
      </c>
      <c r="E17" s="13" t="n">
        <v>7.332589285714286</v>
      </c>
      <c r="F17" s="13" t="n">
        <v>6.414965270469375</v>
      </c>
    </row>
    <row r="18" ht="25" customHeight="1">
      <c r="A18" s="4" t="inlineStr">
        <is>
          <t>Payables Turnover</t>
        </is>
      </c>
      <c r="B18" s="12" t="n">
        <v>7.934782608695652</v>
      </c>
      <c r="C18" s="12" t="n">
        <v>8.420248827576506</v>
      </c>
      <c r="D18" s="12" t="n">
        <v>8.428550771147085</v>
      </c>
      <c r="E18" s="12" t="n">
        <v>8.437197213208041</v>
      </c>
      <c r="F18" s="12" t="n">
        <v>8.435399807982446</v>
      </c>
    </row>
    <row r="19" ht="25" customHeight="1">
      <c r="A19" s="5" t="inlineStr">
        <is>
          <t>Inventory Days</t>
        </is>
      </c>
      <c r="B19" s="13" t="n">
        <v>64</v>
      </c>
      <c r="C19" s="13" t="n">
        <v>60.81010452961672</v>
      </c>
      <c r="D19" s="13" t="n">
        <v>61.69211755012359</v>
      </c>
      <c r="E19" s="13" t="n">
        <v>63.06986027944112</v>
      </c>
      <c r="F19" s="13" t="n">
        <v>64.96439169139464</v>
      </c>
    </row>
    <row r="20" ht="25" customHeight="1">
      <c r="A20" s="4" t="inlineStr">
        <is>
          <t>Receivable Days</t>
        </is>
      </c>
      <c r="B20" s="12" t="n">
        <v>38.00000000000001</v>
      </c>
      <c r="C20" s="12" t="n">
        <v>38.46428571428572</v>
      </c>
      <c r="D20" s="12" t="n">
        <v>43.65454545454546</v>
      </c>
      <c r="E20" s="12" t="n">
        <v>49.77777777777778</v>
      </c>
      <c r="F20" s="12" t="n">
        <v>56.89820359281436</v>
      </c>
    </row>
    <row r="21" ht="25" customHeight="1">
      <c r="A21" s="5" t="inlineStr">
        <is>
          <t>Payable Days</t>
        </is>
      </c>
      <c r="B21" s="13" t="n">
        <v>46</v>
      </c>
      <c r="C21" s="13" t="n">
        <v>43.34788763066202</v>
      </c>
      <c r="D21" s="13" t="n">
        <v>43.30519088162593</v>
      </c>
      <c r="E21" s="13" t="n">
        <v>43.2608117099135</v>
      </c>
      <c r="F21" s="13" t="n">
        <v>43.27002967359049</v>
      </c>
    </row>
    <row r="22" ht="25" customHeight="1">
      <c r="A22" s="4" t="inlineStr">
        <is>
          <t>Cash Conversion Cycle</t>
        </is>
      </c>
      <c r="B22" s="12" t="n">
        <v>56</v>
      </c>
      <c r="C22" s="12" t="n">
        <v>55.92650261324042</v>
      </c>
      <c r="D22" s="12" t="n">
        <v>62.04147212304312</v>
      </c>
      <c r="E22" s="12" t="n">
        <v>69.58682634730539</v>
      </c>
      <c r="F22" s="12" t="n">
        <v>78.59256561061849</v>
      </c>
    </row>
    <row r="23" ht="25" customHeight="1">
      <c r="A23" s="5" t="inlineStr">
        <is>
          <t>Net Working Capital</t>
        </is>
      </c>
      <c r="B23" s="13" t="n">
        <v>153247602.739726</v>
      </c>
      <c r="C23" s="13" t="n">
        <v>221310049.3150685</v>
      </c>
      <c r="D23" s="13" t="n">
        <v>300700723.2876713</v>
      </c>
      <c r="E23" s="13" t="n">
        <v>400761541.7808219</v>
      </c>
      <c r="F23" s="13" t="n">
        <v>521976007.5342466</v>
      </c>
    </row>
    <row r="24" ht="25" customHeight="1">
      <c r="A24" s="4" t="inlineStr">
        <is>
          <t>Total Debt</t>
        </is>
      </c>
      <c r="B24" s="12" t="n">
        <v>260000000</v>
      </c>
      <c r="C24" s="12" t="n">
        <v>290000000</v>
      </c>
      <c r="D24" s="12" t="n">
        <v>325000000</v>
      </c>
      <c r="E24" s="12" t="n">
        <v>365000000</v>
      </c>
      <c r="F24" s="12" t="n">
        <v>410000000</v>
      </c>
    </row>
    <row r="25" ht="25" customHeight="1">
      <c r="A25" s="5" t="inlineStr">
        <is>
          <t>Debt-to-Equity</t>
        </is>
      </c>
      <c r="B25" s="13" t="n">
        <v>0.5158474282029661</v>
      </c>
      <c r="C25" s="13" t="n">
        <v>0.4977877625229669</v>
      </c>
      <c r="D25" s="13" t="n">
        <v>0.4884268387692486</v>
      </c>
      <c r="E25" s="13" t="n">
        <v>0.484823786809831</v>
      </c>
      <c r="F25" s="13" t="n">
        <v>0.4852077609336392</v>
      </c>
    </row>
    <row r="26" ht="25" customHeight="1">
      <c r="A26" s="4" t="inlineStr">
        <is>
          <t>Liabilities-to-Equity</t>
        </is>
      </c>
      <c r="B26" s="12" t="n">
        <v>0.8353032064483648</v>
      </c>
      <c r="C26" s="12" t="n">
        <v>0.796845933967976</v>
      </c>
      <c r="D26" s="12" t="n">
        <v>0.7726578668009182</v>
      </c>
      <c r="E26" s="12" t="n">
        <v>0.7584724883212216</v>
      </c>
      <c r="F26" s="12" t="n">
        <v>0.7513074340967675</v>
      </c>
    </row>
    <row r="27" ht="25" customHeight="1">
      <c r="A27" s="5" t="inlineStr">
        <is>
          <t>Debt Ratio</t>
        </is>
      </c>
      <c r="B27" s="15" t="n">
        <v>0.455130903446098</v>
      </c>
      <c r="C27" s="15" t="n">
        <v>0.4434692584958025</v>
      </c>
      <c r="D27" s="15" t="n">
        <v>0.4358753492546868</v>
      </c>
      <c r="E27" s="15" t="n">
        <v>0.431324625979972</v>
      </c>
      <c r="F27" s="15" t="n">
        <v>0.4289980271135275</v>
      </c>
    </row>
    <row r="28" ht="25" customHeight="1">
      <c r="A28" s="4" t="inlineStr">
        <is>
          <t>Long-Term Debt to Capital</t>
        </is>
      </c>
      <c r="B28" s="14" t="n">
        <v>0.2652964542108524</v>
      </c>
      <c r="C28" s="14" t="n">
        <v>0.2584085900616311</v>
      </c>
      <c r="D28" s="14" t="n">
        <v>0.2547873136300798</v>
      </c>
      <c r="E28" s="14" t="n">
        <v>0.2533840279898609</v>
      </c>
      <c r="F28" s="14" t="n">
        <v>0.2535338264698767</v>
      </c>
    </row>
    <row r="29" ht="25" customHeight="1">
      <c r="A29" s="5" t="inlineStr">
        <is>
          <t>Interest Coverage</t>
        </is>
      </c>
      <c r="B29" s="13" t="n">
        <v>8.833333333333334</v>
      </c>
      <c r="C29" s="13" t="n">
        <v>7.801090909090908</v>
      </c>
      <c r="D29" s="13" t="n">
        <v>6.634285714285713</v>
      </c>
      <c r="E29" s="13" t="n">
        <v>5.759142857142856</v>
      </c>
      <c r="F29" s="13" t="n">
        <v>5.081860465116275</v>
      </c>
    </row>
    <row r="30" ht="25" customHeight="1">
      <c r="A30" s="4" t="inlineStr">
        <is>
          <t>Cash Interest Coverage</t>
        </is>
      </c>
      <c r="B30" s="12" t="n">
        <v>9.902777777777779</v>
      </c>
      <c r="C30" s="12" t="n">
        <v>8.836636363636364</v>
      </c>
      <c r="D30" s="12" t="n">
        <v>7.73</v>
      </c>
      <c r="E30" s="12" t="n">
        <v>6.818357142857143</v>
      </c>
      <c r="F30" s="12" t="n">
        <v>6.206511627906975</v>
      </c>
    </row>
    <row r="31" ht="25" customHeight="1">
      <c r="A31" s="5" t="inlineStr">
        <is>
          <t>Free Cash Flow</t>
        </is>
      </c>
      <c r="B31" s="13" t="n">
        <v>45000000</v>
      </c>
      <c r="C31" s="13" t="n">
        <v>45000000</v>
      </c>
      <c r="D31" s="13" t="n">
        <v>44000000</v>
      </c>
      <c r="E31" s="13" t="n">
        <v>47000000</v>
      </c>
      <c r="F31" s="13" t="n">
        <v>50000000</v>
      </c>
    </row>
    <row r="32" ht="25" customHeight="1">
      <c r="A32" s="4" t="inlineStr">
        <is>
          <t>Operating Cash Flow Margin</t>
        </is>
      </c>
      <c r="B32" s="14" t="n">
        <v>0.119047619047619</v>
      </c>
      <c r="C32" s="14" t="n">
        <v>0.1147959183673469</v>
      </c>
      <c r="D32" s="14" t="n">
        <v>0.1128787878787879</v>
      </c>
      <c r="E32" s="14" t="n">
        <v>0.1090909090909091</v>
      </c>
      <c r="F32" s="14" t="n">
        <v>0.1077844311377246</v>
      </c>
    </row>
    <row r="33" ht="25" customHeight="1">
      <c r="A33" s="5" t="inlineStr">
        <is>
          <t>Cash Flow to Net Income</t>
        </is>
      </c>
      <c r="B33" s="13" t="n">
        <v>1.182033096926714</v>
      </c>
      <c r="C33" s="13" t="n">
        <v>1.20301555900123</v>
      </c>
      <c r="D33" s="13" t="n">
        <v>1.259296822177147</v>
      </c>
      <c r="E33" s="13" t="n">
        <v>1.296752116227412</v>
      </c>
      <c r="F33" s="13" t="n">
        <v>1.367365542388333</v>
      </c>
    </row>
    <row r="34" ht="25" customHeight="1">
      <c r="A34" s="4" t="inlineStr">
        <is>
          <t>Capex Intensity</t>
        </is>
      </c>
      <c r="B34" s="14" t="n">
        <v>0.0761904761904762</v>
      </c>
      <c r="C34" s="14" t="n">
        <v>0.07653061224489796</v>
      </c>
      <c r="D34" s="14" t="n">
        <v>0.07954545454545454</v>
      </c>
      <c r="E34" s="14" t="n">
        <v>0.07744107744107744</v>
      </c>
      <c r="F34" s="14" t="n">
        <v>0.07784431137724551</v>
      </c>
    </row>
    <row r="35" ht="25" customHeight="1">
      <c r="A35" s="5" t="inlineStr">
        <is>
          <t>EPS</t>
        </is>
      </c>
      <c r="B35" s="13" t="n">
        <v>2.115</v>
      </c>
      <c r="C35" s="13" t="n">
        <v>2.244359999999999</v>
      </c>
      <c r="D35" s="13" t="n">
        <v>2.3664</v>
      </c>
      <c r="E35" s="13" t="n">
        <v>2.49855</v>
      </c>
      <c r="F35" s="13" t="n">
        <v>2.632799999999997</v>
      </c>
    </row>
    <row r="36" ht="25" customHeight="1">
      <c r="A36" s="4" t="inlineStr">
        <is>
          <t>P/E Ratio</t>
        </is>
      </c>
      <c r="B36" s="12" t="n">
        <v>11.34751773049645</v>
      </c>
      <c r="C36" s="12" t="n">
        <v>11.5845942718637</v>
      </c>
      <c r="D36" s="12" t="n">
        <v>11.83231913455037</v>
      </c>
      <c r="E36" s="12" t="n">
        <v>12.0069640391427</v>
      </c>
      <c r="F36" s="12" t="n">
        <v>12.15436037678518</v>
      </c>
    </row>
    <row r="37" ht="25" customHeight="1">
      <c r="A37" s="5" t="inlineStr">
        <is>
          <t>Book Value Per Share</t>
        </is>
      </c>
      <c r="B37" s="13" t="n">
        <v>10.0805</v>
      </c>
      <c r="C37" s="13" t="n">
        <v>11.651552</v>
      </c>
      <c r="D37" s="13" t="n">
        <v>13.308032</v>
      </c>
      <c r="E37" s="13" t="n">
        <v>15.057017</v>
      </c>
      <c r="F37" s="13" t="n">
        <v>16.899977</v>
      </c>
    </row>
    <row r="38" ht="25" customHeight="1">
      <c r="A38" s="4" t="inlineStr">
        <is>
          <t>Price-to-Book</t>
        </is>
      </c>
      <c r="B38" s="12" t="n">
        <v>2.38083428401369</v>
      </c>
      <c r="C38" s="12" t="n">
        <v>2.231462383723644</v>
      </c>
      <c r="D38" s="12" t="n">
        <v>2.103992536236763</v>
      </c>
      <c r="E38" s="12" t="n">
        <v>1.992426521136292</v>
      </c>
      <c r="F38" s="12" t="n">
        <v>1.893493701204446</v>
      </c>
    </row>
    <row r="39" ht="25" customHeight="1">
      <c r="A39" s="5" t="inlineStr">
        <is>
          <t>Dividend Payout Ratio</t>
        </is>
      </c>
      <c r="B39" s="15" t="n">
        <v>0.3</v>
      </c>
      <c r="C39" s="15" t="n">
        <v>0.3</v>
      </c>
      <c r="D39" s="15" t="n">
        <v>0.2999999999999999</v>
      </c>
      <c r="E39" s="15" t="n">
        <v>0.3</v>
      </c>
      <c r="F39" s="15" t="n">
        <v>0.3</v>
      </c>
    </row>
    <row r="40" ht="25" customHeight="1">
      <c r="A40" s="4" t="inlineStr">
        <is>
          <t>Dividend Yield</t>
        </is>
      </c>
      <c r="B40" s="14" t="n">
        <v>0.0264375</v>
      </c>
      <c r="C40" s="14" t="n">
        <v>0.02589646153846153</v>
      </c>
      <c r="D40" s="14" t="n">
        <v>0.0253542857142857</v>
      </c>
      <c r="E40" s="14" t="n">
        <v>0.02498549999999999</v>
      </c>
      <c r="F40" s="14" t="n">
        <v>0.02468249999999998</v>
      </c>
    </row>
  </sheetData>
  <autoFilter ref="A3:F40"/>
  <mergeCells count="2">
    <mergeCell ref="A2:F2"/>
    <mergeCell ref="A1:F1"/>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1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Growth</t>
        </is>
      </c>
    </row>
    <row r="2" ht="36" customHeight="1">
      <c r="A2" s="2" t="inlineStr">
        <is>
          <t>YoY requires a positive prior base. Rates are unavailable for missing or nonpositive bases.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Revenue</t>
        </is>
      </c>
      <c r="B4" s="4" t="n"/>
      <c r="C4" s="14" t="n">
        <v>0.12</v>
      </c>
      <c r="D4" s="14" t="n">
        <v>0.1224489795918367</v>
      </c>
      <c r="E4" s="14" t="n">
        <v>0.125</v>
      </c>
      <c r="F4" s="14" t="n">
        <v>0.1245791245791246</v>
      </c>
    </row>
    <row r="5" ht="25" customHeight="1">
      <c r="A5" s="5" t="inlineStr">
        <is>
          <t>Gross Profit</t>
        </is>
      </c>
      <c r="B5" s="5" t="n"/>
      <c r="C5" s="15" t="n">
        <v>0.1008</v>
      </c>
      <c r="D5" s="15" t="n">
        <v>0.1028713811105836</v>
      </c>
      <c r="E5" s="15" t="n">
        <v>0.1050295857988167</v>
      </c>
      <c r="F5" s="15" t="n">
        <v>0.1042554054602245</v>
      </c>
    </row>
    <row r="6" ht="25" customHeight="1">
      <c r="A6" s="4" t="inlineStr">
        <is>
          <t>EBITDA</t>
        </is>
      </c>
      <c r="B6" s="4" t="n"/>
      <c r="C6" s="14" t="n">
        <v>0.08266666666666651</v>
      </c>
      <c r="D6" s="14" t="n">
        <v>0.08374384236453203</v>
      </c>
      <c r="E6" s="14" t="n">
        <v>0.08482142857142859</v>
      </c>
      <c r="F6" s="14" t="n">
        <v>0.08292804589100825</v>
      </c>
    </row>
    <row r="7" ht="25" customHeight="1">
      <c r="A7" s="5" t="inlineStr">
        <is>
          <t>EBIT</t>
        </is>
      </c>
      <c r="B7" s="5" t="n"/>
      <c r="C7" s="15" t="n">
        <v>0.07939622641509415</v>
      </c>
      <c r="D7" s="15" t="n">
        <v>0.08236610264298701</v>
      </c>
      <c r="E7" s="15" t="n">
        <v>0.08510981912144704</v>
      </c>
      <c r="F7" s="15" t="n">
        <v>0.0840898943295126</v>
      </c>
    </row>
    <row r="8" ht="25" customHeight="1">
      <c r="A8" s="4" t="inlineStr">
        <is>
          <t>Net Income</t>
        </is>
      </c>
      <c r="B8" s="4" t="n"/>
      <c r="C8" s="14" t="n">
        <v>0.06116312056737561</v>
      </c>
      <c r="D8" s="14" t="n">
        <v>0.0543763032668556</v>
      </c>
      <c r="E8" s="14" t="n">
        <v>0.05584432048681556</v>
      </c>
      <c r="F8" s="14" t="n">
        <v>0.05373116407516264</v>
      </c>
    </row>
    <row r="9" ht="25" customHeight="1">
      <c r="A9" s="5" t="inlineStr">
        <is>
          <t>EPS</t>
        </is>
      </c>
      <c r="B9" s="5" t="n"/>
      <c r="C9" s="15" t="n">
        <v>0.06116312056737553</v>
      </c>
      <c r="D9" s="15" t="n">
        <v>0.05437630326685566</v>
      </c>
      <c r="E9" s="15" t="n">
        <v>0.05584432048681551</v>
      </c>
      <c r="F9" s="15" t="n">
        <v>0.05373116407516261</v>
      </c>
    </row>
    <row r="10" ht="25" customHeight="1">
      <c r="A10" s="4" t="inlineStr">
        <is>
          <t>Total Assets</t>
        </is>
      </c>
      <c r="B10" s="4" t="n"/>
      <c r="C10" s="14" t="n">
        <v>0.1316307018625285</v>
      </c>
      <c r="D10" s="14" t="n">
        <v>0.1267929987950253</v>
      </c>
      <c r="E10" s="14" t="n">
        <v>0.1223692508716923</v>
      </c>
      <c r="F10" s="14" t="n">
        <v>0.1178254314621717</v>
      </c>
    </row>
    <row r="11" ht="25" customHeight="1">
      <c r="A11" s="5" t="inlineStr">
        <is>
          <t>Shareholders Equity</t>
        </is>
      </c>
      <c r="B11" s="5" t="n"/>
      <c r="C11" s="15" t="n">
        <v>0.1558506026486781</v>
      </c>
      <c r="D11" s="15" t="n">
        <v>0.1421681849765591</v>
      </c>
      <c r="E11" s="15" t="n">
        <v>0.1314232637853591</v>
      </c>
      <c r="F11" s="15" t="n">
        <v>0.1223987460464447</v>
      </c>
    </row>
    <row r="12" ht="25" customHeight="1">
      <c r="A12" s="4" t="inlineStr">
        <is>
          <t>Total Debt</t>
        </is>
      </c>
      <c r="B12" s="4" t="n"/>
      <c r="C12" s="14" t="n">
        <v>0.1153846153846154</v>
      </c>
      <c r="D12" s="14" t="n">
        <v>0.1206896551724138</v>
      </c>
      <c r="E12" s="14" t="n">
        <v>0.1230769230769231</v>
      </c>
      <c r="F12" s="14" t="n">
        <v>0.1232876712328767</v>
      </c>
    </row>
    <row r="13" ht="25" customHeight="1">
      <c r="A13" s="5" t="inlineStr">
        <is>
          <t>Operating Cash Flow</t>
        </is>
      </c>
      <c r="B13" s="5" t="n"/>
      <c r="C13" s="15" t="n">
        <v>0.08</v>
      </c>
      <c r="D13" s="15" t="n">
        <v>0.1037037037037037</v>
      </c>
      <c r="E13" s="15" t="n">
        <v>0.08724832214765101</v>
      </c>
      <c r="F13" s="15" t="n">
        <v>0.1111111111111111</v>
      </c>
    </row>
    <row r="14" ht="25" customHeight="1">
      <c r="A14" s="4" t="inlineStr">
        <is>
          <t>Free Cash Flow</t>
        </is>
      </c>
      <c r="B14" s="4" t="n"/>
      <c r="C14" s="14" t="n">
        <v>0</v>
      </c>
      <c r="D14" s="14" t="n">
        <v>-0.02222222222222222</v>
      </c>
      <c r="E14" s="14" t="n">
        <v>0.06818181818181818</v>
      </c>
      <c r="F14" s="14" t="n">
        <v>0.06382978723404255</v>
      </c>
    </row>
  </sheetData>
  <autoFilter ref="A3:F14"/>
  <mergeCells count="2">
    <mergeCell ref="A2:F2"/>
    <mergeCell ref="A1:F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s>
  <sheetData>
    <row r="1" ht="36" customHeight="1">
      <c r="A1" s="1" t="inlineStr">
        <is>
          <t>CAGR</t>
        </is>
      </c>
    </row>
    <row r="2" ht="38" customHeight="1">
      <c r="A2" s="2" t="inlineStr">
        <is>
          <t>Positive endpoints; at least three observations; elapsed fiscal years.</t>
        </is>
      </c>
    </row>
    <row r="3" ht="32" customHeight="1">
      <c r="A3" s="3" t="inlineStr">
        <is>
          <t>Metric</t>
        </is>
      </c>
      <c r="B3" s="3" t="inlineStr">
        <is>
          <t>CAGR</t>
        </is>
      </c>
    </row>
    <row r="4" ht="25" customHeight="1">
      <c r="A4" s="4" t="inlineStr">
        <is>
          <t>Revenue</t>
        </is>
      </c>
      <c r="B4" s="14" t="n">
        <v>0.1230052666672974</v>
      </c>
    </row>
    <row r="5" ht="25" customHeight="1">
      <c r="A5" s="5" t="inlineStr">
        <is>
          <t>Gross Profit</t>
        </is>
      </c>
      <c r="B5" s="15" t="n">
        <v>0.1032379229186475</v>
      </c>
    </row>
    <row r="6" ht="25" customHeight="1">
      <c r="A6" s="4" t="inlineStr">
        <is>
          <t>EBITDA</t>
        </is>
      </c>
      <c r="B6" s="14" t="n">
        <v>0.08353967054372058</v>
      </c>
    </row>
    <row r="7" ht="25" customHeight="1">
      <c r="A7" s="5" t="inlineStr">
        <is>
          <t>EBIT</t>
        </is>
      </c>
      <c r="B7" s="15" t="n">
        <v>0.08273834340819541</v>
      </c>
    </row>
    <row r="8" ht="25" customHeight="1">
      <c r="A8" s="4" t="inlineStr">
        <is>
          <t>Net Income</t>
        </is>
      </c>
      <c r="B8" s="14" t="n">
        <v>0.05627469208424829</v>
      </c>
    </row>
    <row r="9" ht="25" customHeight="1">
      <c r="A9" s="5" t="inlineStr">
        <is>
          <t>EPS</t>
        </is>
      </c>
      <c r="B9" s="15" t="n">
        <v>0.05627469208424829</v>
      </c>
    </row>
    <row r="10" ht="25" customHeight="1">
      <c r="A10" s="4" t="inlineStr">
        <is>
          <t>Total Assets</t>
        </is>
      </c>
      <c r="B10" s="14" t="n">
        <v>0.1246429155831767</v>
      </c>
    </row>
    <row r="11" ht="25" customHeight="1">
      <c r="A11" s="5" t="inlineStr">
        <is>
          <t>Shareholders Equity</t>
        </is>
      </c>
      <c r="B11" s="15" t="n">
        <v>0.1378919103763194</v>
      </c>
    </row>
    <row r="12" ht="25" customHeight="1">
      <c r="A12" s="4" t="inlineStr">
        <is>
          <t>Total Debt</t>
        </is>
      </c>
      <c r="B12" s="14" t="n">
        <v>0.120605183931862</v>
      </c>
    </row>
    <row r="13" ht="25" customHeight="1">
      <c r="A13" s="5" t="inlineStr">
        <is>
          <t>Operating Cash Flow</t>
        </is>
      </c>
      <c r="B13" s="15" t="n">
        <v>0.09544511501033215</v>
      </c>
    </row>
    <row r="14" ht="25" customHeight="1">
      <c r="A14" s="4" t="inlineStr">
        <is>
          <t>Free Cash Flow</t>
        </is>
      </c>
      <c r="B14" s="14" t="n">
        <v>0.0266900960803409</v>
      </c>
    </row>
  </sheetData>
  <autoFilter ref="A3:B14"/>
  <mergeCells count="2">
    <mergeCell ref="A2:B2"/>
    <mergeCell ref="A1:B1"/>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E203"/>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22" customWidth="1" min="3" max="3"/>
    <col width="22" customWidth="1" min="4" max="4"/>
    <col width="22" customWidth="1" min="5" max="5"/>
  </cols>
  <sheetData>
    <row r="1" ht="36" customHeight="1">
      <c r="A1" s="1" t="inlineStr">
        <is>
          <t>Horizontal Analysis</t>
        </is>
      </c>
    </row>
    <row r="2" ht="36" customHeight="1">
      <c r="A2" s="2" t="inlineStr">
        <is>
          <t>Base year = first available year.</t>
        </is>
      </c>
    </row>
    <row r="3" ht="32" customHeight="1">
      <c r="A3" s="3" t="inlineStr">
        <is>
          <t>Year</t>
        </is>
      </c>
      <c r="B3" s="3" t="inlineStr">
        <is>
          <t>Metric</t>
        </is>
      </c>
      <c r="C3" s="3" t="inlineStr">
        <is>
          <t>Value</t>
        </is>
      </c>
      <c r="D3" s="3" t="inlineStr">
        <is>
          <t>Absolute change</t>
        </is>
      </c>
      <c r="E3" s="3" t="inlineStr">
        <is>
          <t>Percentage change</t>
        </is>
      </c>
    </row>
    <row r="4" ht="25" customHeight="1">
      <c r="A4" s="6" t="n">
        <v>2021</v>
      </c>
      <c r="B4" s="4" t="inlineStr">
        <is>
          <t>Revenue</t>
        </is>
      </c>
      <c r="C4" s="12" t="n">
        <v>1050000000</v>
      </c>
      <c r="D4" s="12" t="n">
        <v>0</v>
      </c>
      <c r="E4" s="16" t="n">
        <v>0</v>
      </c>
    </row>
    <row r="5" ht="25" customHeight="1">
      <c r="A5" s="9" t="n">
        <v>2021</v>
      </c>
      <c r="B5" s="5" t="inlineStr">
        <is>
          <t>COGS</t>
        </is>
      </c>
      <c r="C5" s="13" t="n">
        <v>682500000</v>
      </c>
      <c r="D5" s="13" t="n">
        <v>0</v>
      </c>
      <c r="E5" s="17" t="n">
        <v>0</v>
      </c>
    </row>
    <row r="6" ht="25" customHeight="1">
      <c r="A6" s="6" t="n">
        <v>2021</v>
      </c>
      <c r="B6" s="4" t="inlineStr">
        <is>
          <t>Gross Profit</t>
        </is>
      </c>
      <c r="C6" s="12" t="n">
        <v>367500000</v>
      </c>
      <c r="D6" s="12" t="n">
        <v>0</v>
      </c>
      <c r="E6" s="16" t="n">
        <v>0</v>
      </c>
    </row>
    <row r="7" ht="25" customHeight="1">
      <c r="A7" s="9" t="n">
        <v>2021</v>
      </c>
      <c r="B7" s="5" t="inlineStr">
        <is>
          <t>Operating Expenses</t>
        </is>
      </c>
      <c r="C7" s="13" t="n">
        <v>178500000</v>
      </c>
      <c r="D7" s="13" t="n">
        <v>0</v>
      </c>
      <c r="E7" s="17" t="n">
        <v>0</v>
      </c>
    </row>
    <row r="8" ht="25" customHeight="1">
      <c r="A8" s="6" t="n">
        <v>2021</v>
      </c>
      <c r="B8" s="4" t="inlineStr">
        <is>
          <t>EBITDA</t>
        </is>
      </c>
      <c r="C8" s="12" t="n">
        <v>189000000</v>
      </c>
      <c r="D8" s="12" t="n">
        <v>0</v>
      </c>
      <c r="E8" s="16" t="n">
        <v>0</v>
      </c>
    </row>
    <row r="9" ht="25" customHeight="1">
      <c r="A9" s="9" t="n">
        <v>2021</v>
      </c>
      <c r="B9" s="5" t="inlineStr">
        <is>
          <t>Depreciation</t>
        </is>
      </c>
      <c r="C9" s="13" t="n">
        <v>30000000</v>
      </c>
      <c r="D9" s="13" t="n">
        <v>0</v>
      </c>
      <c r="E9" s="17" t="n">
        <v>0</v>
      </c>
    </row>
    <row r="10" ht="25" customHeight="1">
      <c r="A10" s="6" t="n">
        <v>2021</v>
      </c>
      <c r="B10" s="4" t="inlineStr">
        <is>
          <t>EBIT</t>
        </is>
      </c>
      <c r="C10" s="12" t="n">
        <v>159000000</v>
      </c>
      <c r="D10" s="12" t="n">
        <v>0</v>
      </c>
      <c r="E10" s="16" t="n">
        <v>0</v>
      </c>
    </row>
    <row r="11" ht="25" customHeight="1">
      <c r="A11" s="9" t="n">
        <v>2021</v>
      </c>
      <c r="B11" s="5" t="inlineStr">
        <is>
          <t>Interest Expense</t>
        </is>
      </c>
      <c r="C11" s="13" t="n">
        <v>18000000</v>
      </c>
      <c r="D11" s="13" t="n">
        <v>0</v>
      </c>
      <c r="E11" s="17" t="n">
        <v>0</v>
      </c>
    </row>
    <row r="12" ht="25" customHeight="1">
      <c r="A12" s="6" t="n">
        <v>2021</v>
      </c>
      <c r="B12" s="4" t="inlineStr">
        <is>
          <t>EBT</t>
        </is>
      </c>
      <c r="C12" s="12" t="n">
        <v>141000000</v>
      </c>
      <c r="D12" s="12" t="n">
        <v>0</v>
      </c>
      <c r="E12" s="16" t="n">
        <v>0</v>
      </c>
    </row>
    <row r="13" ht="25" customHeight="1">
      <c r="A13" s="9" t="n">
        <v>2021</v>
      </c>
      <c r="B13" s="5" t="inlineStr">
        <is>
          <t>Tax Expense</t>
        </is>
      </c>
      <c r="C13" s="13" t="n">
        <v>35250000</v>
      </c>
      <c r="D13" s="13" t="n">
        <v>0</v>
      </c>
      <c r="E13" s="17" t="n">
        <v>0</v>
      </c>
    </row>
    <row r="14" ht="25" customHeight="1">
      <c r="A14" s="6" t="n">
        <v>2021</v>
      </c>
      <c r="B14" s="4" t="inlineStr">
        <is>
          <t>Net Income</t>
        </is>
      </c>
      <c r="C14" s="12" t="n">
        <v>105750000</v>
      </c>
      <c r="D14" s="12" t="n">
        <v>0</v>
      </c>
      <c r="E14" s="16" t="n">
        <v>0</v>
      </c>
    </row>
    <row r="15" ht="25" customHeight="1">
      <c r="A15" s="9" t="n">
        <v>2021</v>
      </c>
      <c r="B15" s="5" t="inlineStr">
        <is>
          <t>Cash</t>
        </is>
      </c>
      <c r="C15" s="13" t="n">
        <v>98275000</v>
      </c>
      <c r="D15" s="13" t="n">
        <v>0</v>
      </c>
      <c r="E15" s="17" t="n">
        <v>0</v>
      </c>
    </row>
    <row r="16" ht="35" customHeight="1">
      <c r="A16" s="6" t="n">
        <v>2021</v>
      </c>
      <c r="B16" s="4" t="inlineStr">
        <is>
          <t>Accounts Receivable</t>
        </is>
      </c>
      <c r="C16" s="12" t="n">
        <v>109315068.4931507</v>
      </c>
      <c r="D16" s="12" t="n">
        <v>0</v>
      </c>
      <c r="E16" s="16" t="n">
        <v>0</v>
      </c>
    </row>
    <row r="17" ht="25" customHeight="1">
      <c r="A17" s="9" t="n">
        <v>2021</v>
      </c>
      <c r="B17" s="5" t="inlineStr">
        <is>
          <t>Inventory</t>
        </is>
      </c>
      <c r="C17" s="13" t="n">
        <v>119671232.8767123</v>
      </c>
      <c r="D17" s="13" t="n">
        <v>0</v>
      </c>
      <c r="E17" s="17" t="n">
        <v>0</v>
      </c>
    </row>
    <row r="18" ht="35" customHeight="1">
      <c r="A18" s="6" t="n">
        <v>2021</v>
      </c>
      <c r="B18" s="4" t="inlineStr">
        <is>
          <t>Other Current Assets</t>
        </is>
      </c>
      <c r="C18" s="12" t="n">
        <v>25000000</v>
      </c>
      <c r="D18" s="12" t="n">
        <v>0</v>
      </c>
      <c r="E18" s="16" t="n">
        <v>0</v>
      </c>
    </row>
    <row r="19" ht="35" customHeight="1">
      <c r="A19" s="9" t="n">
        <v>2021</v>
      </c>
      <c r="B19" s="5" t="inlineStr">
        <is>
          <t>Total Current Assets</t>
        </is>
      </c>
      <c r="C19" s="13" t="n">
        <v>352261301.369863</v>
      </c>
      <c r="D19" s="13" t="n">
        <v>0</v>
      </c>
      <c r="E19" s="17" t="n">
        <v>0</v>
      </c>
    </row>
    <row r="20" ht="35" customHeight="1">
      <c r="A20" s="6" t="n">
        <v>2021</v>
      </c>
      <c r="B20" s="4" t="inlineStr">
        <is>
          <t>Property Plant Equipment</t>
        </is>
      </c>
      <c r="C20" s="12" t="n">
        <v>450000000</v>
      </c>
      <c r="D20" s="12" t="n">
        <v>0</v>
      </c>
      <c r="E20" s="16" t="n">
        <v>0</v>
      </c>
    </row>
    <row r="21" ht="35" customHeight="1">
      <c r="A21" s="9" t="n">
        <v>2021</v>
      </c>
      <c r="B21" s="5" t="inlineStr">
        <is>
          <t>Other Non-Current Assets</t>
        </is>
      </c>
      <c r="C21" s="13" t="n">
        <v>122777397.260274</v>
      </c>
      <c r="D21" s="13" t="n">
        <v>0</v>
      </c>
      <c r="E21" s="17" t="n">
        <v>0</v>
      </c>
    </row>
    <row r="22" ht="25" customHeight="1">
      <c r="A22" s="6" t="n">
        <v>2021</v>
      </c>
      <c r="B22" s="4" t="inlineStr">
        <is>
          <t>Total Assets</t>
        </is>
      </c>
      <c r="C22" s="12" t="n">
        <v>925038698.630137</v>
      </c>
      <c r="D22" s="12" t="n">
        <v>0</v>
      </c>
      <c r="E22" s="16" t="n">
        <v>0</v>
      </c>
    </row>
    <row r="23" ht="25" customHeight="1">
      <c r="A23" s="9" t="n">
        <v>2021</v>
      </c>
      <c r="B23" s="5" t="inlineStr">
        <is>
          <t>Accounts Payable</t>
        </is>
      </c>
      <c r="C23" s="13" t="n">
        <v>86013698.63013698</v>
      </c>
      <c r="D23" s="13" t="n">
        <v>0</v>
      </c>
      <c r="E23" s="17" t="n">
        <v>0</v>
      </c>
    </row>
    <row r="24" ht="25" customHeight="1">
      <c r="A24" s="6" t="n">
        <v>2021</v>
      </c>
      <c r="B24" s="4" t="inlineStr">
        <is>
          <t>Short-Term Debt</t>
        </is>
      </c>
      <c r="C24" s="12" t="n">
        <v>78000000</v>
      </c>
      <c r="D24" s="12" t="n">
        <v>0</v>
      </c>
      <c r="E24" s="16" t="n">
        <v>0</v>
      </c>
    </row>
    <row r="25" ht="35" customHeight="1">
      <c r="A25" s="9" t="n">
        <v>2021</v>
      </c>
      <c r="B25" s="5" t="inlineStr">
        <is>
          <t>Other Current Liabilities</t>
        </is>
      </c>
      <c r="C25" s="13" t="n">
        <v>35000000</v>
      </c>
      <c r="D25" s="13" t="n">
        <v>0</v>
      </c>
      <c r="E25" s="17" t="n">
        <v>0</v>
      </c>
    </row>
    <row r="26" ht="35" customHeight="1">
      <c r="A26" s="6" t="n">
        <v>2021</v>
      </c>
      <c r="B26" s="4" t="inlineStr">
        <is>
          <t>Total Current Liabilities</t>
        </is>
      </c>
      <c r="C26" s="12" t="n">
        <v>199013698.630137</v>
      </c>
      <c r="D26" s="12" t="n">
        <v>0</v>
      </c>
      <c r="E26" s="16" t="n">
        <v>0</v>
      </c>
    </row>
    <row r="27" ht="25" customHeight="1">
      <c r="A27" s="9" t="n">
        <v>2021</v>
      </c>
      <c r="B27" s="5" t="inlineStr">
        <is>
          <t>Long-Term Debt</t>
        </is>
      </c>
      <c r="C27" s="13" t="n">
        <v>182000000</v>
      </c>
      <c r="D27" s="13" t="n">
        <v>0</v>
      </c>
      <c r="E27" s="17" t="n">
        <v>0</v>
      </c>
    </row>
    <row r="28" ht="35" customHeight="1">
      <c r="A28" s="6" t="n">
        <v>2021</v>
      </c>
      <c r="B28" s="4" t="inlineStr">
        <is>
          <t>Other Non-Current Liabilities</t>
        </is>
      </c>
      <c r="C28" s="12" t="n">
        <v>40000000</v>
      </c>
      <c r="D28" s="12" t="n">
        <v>0</v>
      </c>
      <c r="E28" s="16" t="n">
        <v>0</v>
      </c>
    </row>
    <row r="29" ht="25" customHeight="1">
      <c r="A29" s="9" t="n">
        <v>2021</v>
      </c>
      <c r="B29" s="5" t="inlineStr">
        <is>
          <t>Total Liabilities</t>
        </is>
      </c>
      <c r="C29" s="13" t="n">
        <v>421013698.630137</v>
      </c>
      <c r="D29" s="13" t="n">
        <v>0</v>
      </c>
      <c r="E29" s="17" t="n">
        <v>0</v>
      </c>
    </row>
    <row r="30" ht="35" customHeight="1">
      <c r="A30" s="6" t="n">
        <v>2021</v>
      </c>
      <c r="B30" s="4" t="inlineStr">
        <is>
          <t>Shareholders Equity</t>
        </is>
      </c>
      <c r="C30" s="12" t="n">
        <v>504025000</v>
      </c>
      <c r="D30" s="12" t="n">
        <v>0</v>
      </c>
      <c r="E30" s="16" t="n">
        <v>0</v>
      </c>
    </row>
    <row r="31" ht="35" customHeight="1">
      <c r="A31" s="9" t="n">
        <v>2021</v>
      </c>
      <c r="B31" s="5" t="inlineStr">
        <is>
          <t>Operating Cash Flow</t>
        </is>
      </c>
      <c r="C31" s="13" t="n">
        <v>125000000</v>
      </c>
      <c r="D31" s="13" t="n">
        <v>0</v>
      </c>
      <c r="E31" s="17" t="n">
        <v>0</v>
      </c>
    </row>
    <row r="32" ht="35" customHeight="1">
      <c r="A32" s="6" t="n">
        <v>2021</v>
      </c>
      <c r="B32" s="4" t="inlineStr">
        <is>
          <t>Capital Expenditure</t>
        </is>
      </c>
      <c r="C32" s="12" t="n">
        <v>80000000</v>
      </c>
      <c r="D32" s="12" t="n">
        <v>0</v>
      </c>
      <c r="E32" s="16" t="n">
        <v>0</v>
      </c>
    </row>
    <row r="33" ht="35" customHeight="1">
      <c r="A33" s="9" t="n">
        <v>2021</v>
      </c>
      <c r="B33" s="5" t="inlineStr">
        <is>
          <t>Investing Cash Flow</t>
        </is>
      </c>
      <c r="C33" s="13" t="n">
        <v>-80000000</v>
      </c>
      <c r="D33" s="13" t="n">
        <v>0</v>
      </c>
      <c r="E33" s="17" t="n"/>
    </row>
    <row r="34" ht="35" customHeight="1">
      <c r="A34" s="6" t="n">
        <v>2021</v>
      </c>
      <c r="B34" s="4" t="inlineStr">
        <is>
          <t>Financing Cash Flow</t>
        </is>
      </c>
      <c r="C34" s="12" t="n">
        <v>-11725000</v>
      </c>
      <c r="D34" s="12" t="n">
        <v>0</v>
      </c>
      <c r="E34" s="16" t="n"/>
    </row>
    <row r="35" ht="25" customHeight="1">
      <c r="A35" s="9" t="n">
        <v>2021</v>
      </c>
      <c r="B35" s="5" t="inlineStr">
        <is>
          <t>Cash Dividends</t>
        </is>
      </c>
      <c r="C35" s="13" t="n">
        <v>31725000</v>
      </c>
      <c r="D35" s="13" t="n">
        <v>0</v>
      </c>
      <c r="E35" s="17" t="n">
        <v>0</v>
      </c>
    </row>
    <row r="36" ht="25" customHeight="1">
      <c r="A36" s="6" t="n">
        <v>2021</v>
      </c>
      <c r="B36" s="4" t="inlineStr">
        <is>
          <t>Shares Outstanding</t>
        </is>
      </c>
      <c r="C36" s="12" t="n">
        <v>50000000</v>
      </c>
      <c r="D36" s="12" t="n">
        <v>0</v>
      </c>
      <c r="E36" s="16" t="n">
        <v>0</v>
      </c>
    </row>
    <row r="37" ht="35" customHeight="1">
      <c r="A37" s="9" t="n">
        <v>2021</v>
      </c>
      <c r="B37" s="5" t="inlineStr">
        <is>
          <t>Weighted Average Shares Outstanding</t>
        </is>
      </c>
      <c r="C37" s="13" t="n">
        <v>50000000</v>
      </c>
      <c r="D37" s="13" t="n">
        <v>0</v>
      </c>
      <c r="E37" s="17" t="n">
        <v>0</v>
      </c>
    </row>
    <row r="38" ht="35" customHeight="1">
      <c r="A38" s="6" t="n">
        <v>2021</v>
      </c>
      <c r="B38" s="4" t="inlineStr">
        <is>
          <t>Market Price Per Share</t>
        </is>
      </c>
      <c r="C38" s="12" t="n">
        <v>24</v>
      </c>
      <c r="D38" s="12" t="n">
        <v>0</v>
      </c>
      <c r="E38" s="16" t="n">
        <v>0</v>
      </c>
    </row>
    <row r="39" ht="35" customHeight="1">
      <c r="A39" s="9" t="n">
        <v>2021</v>
      </c>
      <c r="B39" s="5" t="inlineStr">
        <is>
          <t>Preferred Dividends</t>
        </is>
      </c>
      <c r="C39" s="13" t="n">
        <v>0</v>
      </c>
      <c r="D39" s="13" t="n">
        <v>0</v>
      </c>
      <c r="E39" s="17" t="n"/>
    </row>
    <row r="40" ht="25" customHeight="1">
      <c r="A40" s="6" t="n">
        <v>2021</v>
      </c>
      <c r="B40" s="4" t="inlineStr">
        <is>
          <t>Retained Earnings</t>
        </is>
      </c>
      <c r="C40" s="12" t="n">
        <v>104025000</v>
      </c>
      <c r="D40" s="12" t="n">
        <v>0</v>
      </c>
      <c r="E40" s="16" t="n">
        <v>0</v>
      </c>
    </row>
    <row r="41" ht="25" customHeight="1">
      <c r="A41" s="9" t="n">
        <v>2021</v>
      </c>
      <c r="B41" s="5" t="inlineStr">
        <is>
          <t>Cash Interest Paid</t>
        </is>
      </c>
      <c r="C41" s="13" t="n">
        <v>18000000</v>
      </c>
      <c r="D41" s="13" t="n">
        <v>0</v>
      </c>
      <c r="E41" s="17" t="n">
        <v>0</v>
      </c>
    </row>
    <row r="42" ht="25" customHeight="1">
      <c r="A42" s="6" t="n">
        <v>2021</v>
      </c>
      <c r="B42" s="4" t="inlineStr">
        <is>
          <t>Cash Taxes Paid</t>
        </is>
      </c>
      <c r="C42" s="12" t="n">
        <v>35250000</v>
      </c>
      <c r="D42" s="12" t="n">
        <v>0</v>
      </c>
      <c r="E42" s="16" t="n">
        <v>0</v>
      </c>
    </row>
    <row r="43" ht="25" customHeight="1">
      <c r="A43" s="9" t="n">
        <v>2021</v>
      </c>
      <c r="B43" s="5" t="inlineStr">
        <is>
          <t>FX Effect on Cash</t>
        </is>
      </c>
      <c r="C43" s="13" t="n">
        <v>0</v>
      </c>
      <c r="D43" s="13" t="n">
        <v>0</v>
      </c>
      <c r="E43" s="17" t="n"/>
    </row>
    <row r="44" ht="25" customHeight="1">
      <c r="A44" s="6" t="n">
        <v>2022</v>
      </c>
      <c r="B44" s="4" t="inlineStr">
        <is>
          <t>Revenue</t>
        </is>
      </c>
      <c r="C44" s="12" t="n">
        <v>1176000000</v>
      </c>
      <c r="D44" s="12" t="n">
        <v>126000000</v>
      </c>
      <c r="E44" s="16" t="n">
        <v>0.12</v>
      </c>
    </row>
    <row r="45" ht="25" customHeight="1">
      <c r="A45" s="9" t="n">
        <v>2022</v>
      </c>
      <c r="B45" s="5" t="inlineStr">
        <is>
          <t>COGS</t>
        </is>
      </c>
      <c r="C45" s="13" t="n">
        <v>771456000</v>
      </c>
      <c r="D45" s="13" t="n">
        <v>88956000</v>
      </c>
      <c r="E45" s="17" t="n">
        <v>0.1303384615384615</v>
      </c>
    </row>
    <row r="46" ht="25" customHeight="1">
      <c r="A46" s="6" t="n">
        <v>2022</v>
      </c>
      <c r="B46" s="4" t="inlineStr">
        <is>
          <t>Gross Profit</t>
        </is>
      </c>
      <c r="C46" s="12" t="n">
        <v>404544000</v>
      </c>
      <c r="D46" s="12" t="n">
        <v>37044000</v>
      </c>
      <c r="E46" s="16" t="n">
        <v>0.1008</v>
      </c>
    </row>
    <row r="47" ht="25" customHeight="1">
      <c r="A47" s="9" t="n">
        <v>2022</v>
      </c>
      <c r="B47" s="5" t="inlineStr">
        <is>
          <t>Operating Expenses</t>
        </is>
      </c>
      <c r="C47" s="13" t="n">
        <v>199920000</v>
      </c>
      <c r="D47" s="13" t="n">
        <v>21420000.00000003</v>
      </c>
      <c r="E47" s="17" t="n">
        <v>0.1200000000000002</v>
      </c>
    </row>
    <row r="48" ht="25" customHeight="1">
      <c r="A48" s="6" t="n">
        <v>2022</v>
      </c>
      <c r="B48" s="4" t="inlineStr">
        <is>
          <t>EBITDA</t>
        </is>
      </c>
      <c r="C48" s="12" t="n">
        <v>204624000</v>
      </c>
      <c r="D48" s="12" t="n">
        <v>15623999.99999997</v>
      </c>
      <c r="E48" s="16" t="n">
        <v>0.08266666666666651</v>
      </c>
    </row>
    <row r="49" ht="25" customHeight="1">
      <c r="A49" s="9" t="n">
        <v>2022</v>
      </c>
      <c r="B49" s="5" t="inlineStr">
        <is>
          <t>Depreciation</t>
        </is>
      </c>
      <c r="C49" s="13" t="n">
        <v>33000000</v>
      </c>
      <c r="D49" s="13" t="n">
        <v>3000000</v>
      </c>
      <c r="E49" s="17" t="n">
        <v>0.1</v>
      </c>
    </row>
    <row r="50" ht="25" customHeight="1">
      <c r="A50" s="6" t="n">
        <v>2022</v>
      </c>
      <c r="B50" s="4" t="inlineStr">
        <is>
          <t>EBIT</t>
        </is>
      </c>
      <c r="C50" s="12" t="n">
        <v>171624000</v>
      </c>
      <c r="D50" s="12" t="n">
        <v>12623999.99999997</v>
      </c>
      <c r="E50" s="16" t="n">
        <v>0.07939622641509415</v>
      </c>
    </row>
    <row r="51" ht="25" customHeight="1">
      <c r="A51" s="9" t="n">
        <v>2022</v>
      </c>
      <c r="B51" s="5" t="inlineStr">
        <is>
          <t>Interest Expense</t>
        </is>
      </c>
      <c r="C51" s="13" t="n">
        <v>22000000</v>
      </c>
      <c r="D51" s="13" t="n">
        <v>4000000</v>
      </c>
      <c r="E51" s="17" t="n">
        <v>0.2222222222222222</v>
      </c>
    </row>
    <row r="52" ht="25" customHeight="1">
      <c r="A52" s="6" t="n">
        <v>2022</v>
      </c>
      <c r="B52" s="4" t="inlineStr">
        <is>
          <t>EBT</t>
        </is>
      </c>
      <c r="C52" s="12" t="n">
        <v>149624000</v>
      </c>
      <c r="D52" s="12" t="n">
        <v>8623999.99999997</v>
      </c>
      <c r="E52" s="16" t="n">
        <v>0.06116312056737568</v>
      </c>
    </row>
    <row r="53" ht="25" customHeight="1">
      <c r="A53" s="9" t="n">
        <v>2022</v>
      </c>
      <c r="B53" s="5" t="inlineStr">
        <is>
          <t>Tax Expense</t>
        </is>
      </c>
      <c r="C53" s="13" t="n">
        <v>37405999.99999999</v>
      </c>
      <c r="D53" s="13" t="n">
        <v>2155999.999999993</v>
      </c>
      <c r="E53" s="17" t="n">
        <v>0.06116312056737568</v>
      </c>
    </row>
    <row r="54" ht="25" customHeight="1">
      <c r="A54" s="6" t="n">
        <v>2022</v>
      </c>
      <c r="B54" s="4" t="inlineStr">
        <is>
          <t>Net Income</t>
        </is>
      </c>
      <c r="C54" s="12" t="n">
        <v>112218000</v>
      </c>
      <c r="D54" s="12" t="n">
        <v>6467999.99999997</v>
      </c>
      <c r="E54" s="16" t="n">
        <v>0.06116312056737561</v>
      </c>
    </row>
    <row r="55" ht="25" customHeight="1">
      <c r="A55" s="9" t="n">
        <v>2022</v>
      </c>
      <c r="B55" s="5" t="inlineStr">
        <is>
          <t>Cash</t>
        </is>
      </c>
      <c r="C55" s="13" t="n">
        <v>139609600</v>
      </c>
      <c r="D55" s="13" t="n">
        <v>41334600</v>
      </c>
      <c r="E55" s="17" t="n">
        <v>0.4206013736962605</v>
      </c>
    </row>
    <row r="56" ht="35" customHeight="1">
      <c r="A56" s="6" t="n">
        <v>2022</v>
      </c>
      <c r="B56" s="4" t="inlineStr">
        <is>
          <t>Accounts Receivable</t>
        </is>
      </c>
      <c r="C56" s="12" t="n">
        <v>138542465.7534247</v>
      </c>
      <c r="D56" s="12" t="n">
        <v>29227397.26027398</v>
      </c>
      <c r="E56" s="16" t="n">
        <v>0.2673684210526316</v>
      </c>
    </row>
    <row r="57" ht="25" customHeight="1">
      <c r="A57" s="9" t="n">
        <v>2022</v>
      </c>
      <c r="B57" s="5" t="inlineStr">
        <is>
          <t>Inventory</t>
        </is>
      </c>
      <c r="C57" s="13" t="n">
        <v>137382575.3424657</v>
      </c>
      <c r="D57" s="13" t="n">
        <v>17711342.46575341</v>
      </c>
      <c r="E57" s="17" t="n">
        <v>0.1479999999999999</v>
      </c>
    </row>
    <row r="58" ht="35" customHeight="1">
      <c r="A58" s="6" t="n">
        <v>2022</v>
      </c>
      <c r="B58" s="4" t="inlineStr">
        <is>
          <t>Other Current Assets</t>
        </is>
      </c>
      <c r="C58" s="12" t="n">
        <v>27000000</v>
      </c>
      <c r="D58" s="12" t="n">
        <v>2000000</v>
      </c>
      <c r="E58" s="16" t="n">
        <v>0.08</v>
      </c>
    </row>
    <row r="59" ht="35" customHeight="1">
      <c r="A59" s="9" t="n">
        <v>2022</v>
      </c>
      <c r="B59" s="5" t="inlineStr">
        <is>
          <t>Total Current Assets</t>
        </is>
      </c>
      <c r="C59" s="13" t="n">
        <v>442534641.0958904</v>
      </c>
      <c r="D59" s="13" t="n">
        <v>90273339.72602737</v>
      </c>
      <c r="E59" s="17" t="n">
        <v>0.2562681151036891</v>
      </c>
    </row>
    <row r="60" ht="35" customHeight="1">
      <c r="A60" s="6" t="n">
        <v>2022</v>
      </c>
      <c r="B60" s="4" t="inlineStr">
        <is>
          <t>Property Plant Equipment</t>
        </is>
      </c>
      <c r="C60" s="12" t="n">
        <v>507000000</v>
      </c>
      <c r="D60" s="12" t="n">
        <v>57000000</v>
      </c>
      <c r="E60" s="16" t="n">
        <v>0.1266666666666667</v>
      </c>
    </row>
    <row r="61" ht="35" customHeight="1">
      <c r="A61" s="9" t="n">
        <v>2022</v>
      </c>
      <c r="B61" s="5" t="inlineStr">
        <is>
          <t>Other Non-Current Assets</t>
        </is>
      </c>
      <c r="C61" s="13" t="n">
        <v>97267550.6849315</v>
      </c>
      <c r="D61" s="13" t="n">
        <v>-25509846.57534252</v>
      </c>
      <c r="E61" s="17" t="n">
        <v>-0.2077731499818698</v>
      </c>
    </row>
    <row r="62" ht="25" customHeight="1">
      <c r="A62" s="6" t="n">
        <v>2022</v>
      </c>
      <c r="B62" s="4" t="inlineStr">
        <is>
          <t>Total Assets</t>
        </is>
      </c>
      <c r="C62" s="12" t="n">
        <v>1046802191.780822</v>
      </c>
      <c r="D62" s="12" t="n">
        <v>121763493.150685</v>
      </c>
      <c r="E62" s="16" t="n">
        <v>0.1316307018625285</v>
      </c>
    </row>
    <row r="63" ht="25" customHeight="1">
      <c r="A63" s="9" t="n">
        <v>2022</v>
      </c>
      <c r="B63" s="5" t="inlineStr">
        <is>
          <t>Accounts Payable</t>
        </is>
      </c>
      <c r="C63" s="13" t="n">
        <v>97224591.78082192</v>
      </c>
      <c r="D63" s="13" t="n">
        <v>11210893.15068494</v>
      </c>
      <c r="E63" s="17" t="n">
        <v>0.1303384615384616</v>
      </c>
    </row>
    <row r="64" ht="25" customHeight="1">
      <c r="A64" s="6" t="n">
        <v>2022</v>
      </c>
      <c r="B64" s="4" t="inlineStr">
        <is>
          <t>Short-Term Debt</t>
        </is>
      </c>
      <c r="C64" s="12" t="n">
        <v>87000000</v>
      </c>
      <c r="D64" s="12" t="n">
        <v>9000000</v>
      </c>
      <c r="E64" s="16" t="n">
        <v>0.1153846153846154</v>
      </c>
    </row>
    <row r="65" ht="35" customHeight="1">
      <c r="A65" s="9" t="n">
        <v>2022</v>
      </c>
      <c r="B65" s="5" t="inlineStr">
        <is>
          <t>Other Current Liabilities</t>
        </is>
      </c>
      <c r="C65" s="13" t="n">
        <v>37000000</v>
      </c>
      <c r="D65" s="13" t="n">
        <v>2000000</v>
      </c>
      <c r="E65" s="17" t="n">
        <v>0.05714285714285714</v>
      </c>
    </row>
    <row r="66" ht="35" customHeight="1">
      <c r="A66" s="6" t="n">
        <v>2022</v>
      </c>
      <c r="B66" s="4" t="inlineStr">
        <is>
          <t>Total Current Liabilities</t>
        </is>
      </c>
      <c r="C66" s="12" t="n">
        <v>221224591.7808219</v>
      </c>
      <c r="D66" s="12" t="n">
        <v>22210893.15068492</v>
      </c>
      <c r="E66" s="16" t="n">
        <v>0.1116048458149779</v>
      </c>
    </row>
    <row r="67" ht="25" customHeight="1">
      <c r="A67" s="9" t="n">
        <v>2022</v>
      </c>
      <c r="B67" s="5" t="inlineStr">
        <is>
          <t>Long-Term Debt</t>
        </is>
      </c>
      <c r="C67" s="13" t="n">
        <v>203000000</v>
      </c>
      <c r="D67" s="13" t="n">
        <v>21000000</v>
      </c>
      <c r="E67" s="17" t="n">
        <v>0.1153846153846154</v>
      </c>
    </row>
    <row r="68" ht="35" customHeight="1">
      <c r="A68" s="6" t="n">
        <v>2022</v>
      </c>
      <c r="B68" s="4" t="inlineStr">
        <is>
          <t>Other Non-Current Liabilities</t>
        </is>
      </c>
      <c r="C68" s="12" t="n">
        <v>40000000</v>
      </c>
      <c r="D68" s="12" t="n">
        <v>0</v>
      </c>
      <c r="E68" s="16" t="n">
        <v>0</v>
      </c>
    </row>
    <row r="69" ht="25" customHeight="1">
      <c r="A69" s="9" t="n">
        <v>2022</v>
      </c>
      <c r="B69" s="5" t="inlineStr">
        <is>
          <t>Total Liabilities</t>
        </is>
      </c>
      <c r="C69" s="13" t="n">
        <v>464224591.7808219</v>
      </c>
      <c r="D69" s="13" t="n">
        <v>43210893.15068489</v>
      </c>
      <c r="E69" s="17" t="n">
        <v>0.1026353614889047</v>
      </c>
    </row>
    <row r="70" ht="35" customHeight="1">
      <c r="A70" s="6" t="n">
        <v>2022</v>
      </c>
      <c r="B70" s="4" t="inlineStr">
        <is>
          <t>Shareholders Equity</t>
        </is>
      </c>
      <c r="C70" s="12" t="n">
        <v>582577600</v>
      </c>
      <c r="D70" s="12" t="n">
        <v>78552600</v>
      </c>
      <c r="E70" s="16" t="n">
        <v>0.1558506026486781</v>
      </c>
    </row>
    <row r="71" ht="35" customHeight="1">
      <c r="A71" s="9" t="n">
        <v>2022</v>
      </c>
      <c r="B71" s="5" t="inlineStr">
        <is>
          <t>Operating Cash Flow</t>
        </is>
      </c>
      <c r="C71" s="13" t="n">
        <v>135000000</v>
      </c>
      <c r="D71" s="13" t="n">
        <v>10000000</v>
      </c>
      <c r="E71" s="17" t="n">
        <v>0.08</v>
      </c>
    </row>
    <row r="72" ht="35" customHeight="1">
      <c r="A72" s="6" t="n">
        <v>2022</v>
      </c>
      <c r="B72" s="4" t="inlineStr">
        <is>
          <t>Capital Expenditure</t>
        </is>
      </c>
      <c r="C72" s="12" t="n">
        <v>90000000</v>
      </c>
      <c r="D72" s="12" t="n">
        <v>10000000</v>
      </c>
      <c r="E72" s="16" t="n">
        <v>0.125</v>
      </c>
    </row>
    <row r="73" ht="35" customHeight="1">
      <c r="A73" s="9" t="n">
        <v>2022</v>
      </c>
      <c r="B73" s="5" t="inlineStr">
        <is>
          <t>Investing Cash Flow</t>
        </is>
      </c>
      <c r="C73" s="13" t="n">
        <v>-90000000</v>
      </c>
      <c r="D73" s="13" t="n">
        <v>-10000000</v>
      </c>
      <c r="E73" s="17" t="n"/>
    </row>
    <row r="74" ht="35" customHeight="1">
      <c r="A74" s="6" t="n">
        <v>2022</v>
      </c>
      <c r="B74" s="4" t="inlineStr">
        <is>
          <t>Financing Cash Flow</t>
        </is>
      </c>
      <c r="C74" s="12" t="n">
        <v>-3665399.999999991</v>
      </c>
      <c r="D74" s="12" t="n">
        <v>8059600.000000007</v>
      </c>
      <c r="E74" s="16" t="n"/>
    </row>
    <row r="75" ht="25" customHeight="1">
      <c r="A75" s="9" t="n">
        <v>2022</v>
      </c>
      <c r="B75" s="5" t="inlineStr">
        <is>
          <t>Cash Dividends</t>
        </is>
      </c>
      <c r="C75" s="13" t="n">
        <v>33665399.99999999</v>
      </c>
      <c r="D75" s="13" t="n">
        <v>1940399.999999996</v>
      </c>
      <c r="E75" s="17" t="n">
        <v>0.06116312056737578</v>
      </c>
    </row>
    <row r="76" ht="25" customHeight="1">
      <c r="A76" s="6" t="n">
        <v>2022</v>
      </c>
      <c r="B76" s="4" t="inlineStr">
        <is>
          <t>Shares Outstanding</t>
        </is>
      </c>
      <c r="C76" s="12" t="n">
        <v>50000000</v>
      </c>
      <c r="D76" s="12" t="n">
        <v>0</v>
      </c>
      <c r="E76" s="16" t="n">
        <v>0</v>
      </c>
    </row>
    <row r="77" ht="35" customHeight="1">
      <c r="A77" s="9" t="n">
        <v>2022</v>
      </c>
      <c r="B77" s="5" t="inlineStr">
        <is>
          <t>Weighted Average Shares Outstanding</t>
        </is>
      </c>
      <c r="C77" s="13" t="n">
        <v>50000000</v>
      </c>
      <c r="D77" s="13" t="n">
        <v>0</v>
      </c>
      <c r="E77" s="17" t="n">
        <v>0</v>
      </c>
    </row>
    <row r="78" ht="35" customHeight="1">
      <c r="A78" s="6" t="n">
        <v>2022</v>
      </c>
      <c r="B78" s="4" t="inlineStr">
        <is>
          <t>Market Price Per Share</t>
        </is>
      </c>
      <c r="C78" s="12" t="n">
        <v>26</v>
      </c>
      <c r="D78" s="12" t="n">
        <v>2</v>
      </c>
      <c r="E78" s="16" t="n">
        <v>0.08333333333333333</v>
      </c>
    </row>
    <row r="79" ht="35" customHeight="1">
      <c r="A79" s="9" t="n">
        <v>2022</v>
      </c>
      <c r="B79" s="5" t="inlineStr">
        <is>
          <t>Preferred Dividends</t>
        </is>
      </c>
      <c r="C79" s="13" t="n">
        <v>0</v>
      </c>
      <c r="D79" s="13" t="n">
        <v>0</v>
      </c>
      <c r="E79" s="17" t="n"/>
    </row>
    <row r="80" ht="25" customHeight="1">
      <c r="A80" s="6" t="n">
        <v>2022</v>
      </c>
      <c r="B80" s="4" t="inlineStr">
        <is>
          <t>Retained Earnings</t>
        </is>
      </c>
      <c r="C80" s="12" t="n">
        <v>182577600</v>
      </c>
      <c r="D80" s="12" t="n">
        <v>78552600</v>
      </c>
      <c r="E80" s="16" t="n">
        <v>0.7551319394376353</v>
      </c>
    </row>
    <row r="81" ht="25" customHeight="1">
      <c r="A81" s="9" t="n">
        <v>2022</v>
      </c>
      <c r="B81" s="5" t="inlineStr">
        <is>
          <t>Cash Interest Paid</t>
        </is>
      </c>
      <c r="C81" s="13" t="n">
        <v>22000000</v>
      </c>
      <c r="D81" s="13" t="n">
        <v>4000000</v>
      </c>
      <c r="E81" s="17" t="n">
        <v>0.2222222222222222</v>
      </c>
    </row>
    <row r="82" ht="25" customHeight="1">
      <c r="A82" s="6" t="n">
        <v>2022</v>
      </c>
      <c r="B82" s="4" t="inlineStr">
        <is>
          <t>Cash Taxes Paid</t>
        </is>
      </c>
      <c r="C82" s="12" t="n">
        <v>37405999.99999999</v>
      </c>
      <c r="D82" s="12" t="n">
        <v>2155999.999999993</v>
      </c>
      <c r="E82" s="16" t="n">
        <v>0.06116312056737568</v>
      </c>
    </row>
    <row r="83" ht="25" customHeight="1">
      <c r="A83" s="9" t="n">
        <v>2022</v>
      </c>
      <c r="B83" s="5" t="inlineStr">
        <is>
          <t>FX Effect on Cash</t>
        </is>
      </c>
      <c r="C83" s="13" t="n">
        <v>0</v>
      </c>
      <c r="D83" s="13" t="n">
        <v>0</v>
      </c>
      <c r="E83" s="17" t="n"/>
    </row>
    <row r="84" ht="25" customHeight="1">
      <c r="A84" s="6" t="n">
        <v>2023</v>
      </c>
      <c r="B84" s="4" t="inlineStr">
        <is>
          <t>Revenue</t>
        </is>
      </c>
      <c r="C84" s="12" t="n">
        <v>1320000000</v>
      </c>
      <c r="D84" s="12" t="n">
        <v>270000000</v>
      </c>
      <c r="E84" s="16" t="n">
        <v>0.2571428571428571</v>
      </c>
    </row>
    <row r="85" ht="25" customHeight="1">
      <c r="A85" s="9" t="n">
        <v>2023</v>
      </c>
      <c r="B85" s="5" t="inlineStr">
        <is>
          <t>COGS</t>
        </is>
      </c>
      <c r="C85" s="13" t="n">
        <v>873840000</v>
      </c>
      <c r="D85" s="13" t="n">
        <v>191340000</v>
      </c>
      <c r="E85" s="17" t="n">
        <v>0.2803516483516483</v>
      </c>
    </row>
    <row r="86" ht="25" customHeight="1">
      <c r="A86" s="6" t="n">
        <v>2023</v>
      </c>
      <c r="B86" s="4" t="inlineStr">
        <is>
          <t>Gross Profit</t>
        </is>
      </c>
      <c r="C86" s="12" t="n">
        <v>446159999.9999999</v>
      </c>
      <c r="D86" s="12" t="n">
        <v>78659999.99999994</v>
      </c>
      <c r="E86" s="16" t="n">
        <v>0.2140408163265304</v>
      </c>
    </row>
    <row r="87" ht="25" customHeight="1">
      <c r="A87" s="9" t="n">
        <v>2023</v>
      </c>
      <c r="B87" s="5" t="inlineStr">
        <is>
          <t>Operating Expenses</t>
        </is>
      </c>
      <c r="C87" s="13" t="n">
        <v>224400000</v>
      </c>
      <c r="D87" s="13" t="n">
        <v>45900000</v>
      </c>
      <c r="E87" s="17" t="n">
        <v>0.2571428571428571</v>
      </c>
    </row>
    <row r="88" ht="25" customHeight="1">
      <c r="A88" s="6" t="n">
        <v>2023</v>
      </c>
      <c r="B88" s="4" t="inlineStr">
        <is>
          <t>EBITDA</t>
        </is>
      </c>
      <c r="C88" s="12" t="n">
        <v>221760000</v>
      </c>
      <c r="D88" s="12" t="n">
        <v>32759999.99999997</v>
      </c>
      <c r="E88" s="16" t="n">
        <v>0.1733333333333332</v>
      </c>
    </row>
    <row r="89" ht="25" customHeight="1">
      <c r="A89" s="9" t="n">
        <v>2023</v>
      </c>
      <c r="B89" s="5" t="inlineStr">
        <is>
          <t>Depreciation</t>
        </is>
      </c>
      <c r="C89" s="13" t="n">
        <v>36000000</v>
      </c>
      <c r="D89" s="13" t="n">
        <v>6000000</v>
      </c>
      <c r="E89" s="17" t="n">
        <v>0.2</v>
      </c>
    </row>
    <row r="90" ht="25" customHeight="1">
      <c r="A90" s="6" t="n">
        <v>2023</v>
      </c>
      <c r="B90" s="4" t="inlineStr">
        <is>
          <t>EBIT</t>
        </is>
      </c>
      <c r="C90" s="12" t="n">
        <v>185760000</v>
      </c>
      <c r="D90" s="12" t="n">
        <v>26759999.99999997</v>
      </c>
      <c r="E90" s="16" t="n">
        <v>0.1683018867924526</v>
      </c>
    </row>
    <row r="91" ht="25" customHeight="1">
      <c r="A91" s="9" t="n">
        <v>2023</v>
      </c>
      <c r="B91" s="5" t="inlineStr">
        <is>
          <t>Interest Expense</t>
        </is>
      </c>
      <c r="C91" s="13" t="n">
        <v>28000000</v>
      </c>
      <c r="D91" s="13" t="n">
        <v>10000000</v>
      </c>
      <c r="E91" s="17" t="n">
        <v>0.5555555555555556</v>
      </c>
    </row>
    <row r="92" ht="25" customHeight="1">
      <c r="A92" s="6" t="n">
        <v>2023</v>
      </c>
      <c r="B92" s="4" t="inlineStr">
        <is>
          <t>EBT</t>
        </is>
      </c>
      <c r="C92" s="12" t="n">
        <v>157760000</v>
      </c>
      <c r="D92" s="12" t="n">
        <v>16759999.99999997</v>
      </c>
      <c r="E92" s="16" t="n">
        <v>0.1188652482269501</v>
      </c>
    </row>
    <row r="93" ht="25" customHeight="1">
      <c r="A93" s="9" t="n">
        <v>2023</v>
      </c>
      <c r="B93" s="5" t="inlineStr">
        <is>
          <t>Tax Expense</t>
        </is>
      </c>
      <c r="C93" s="13" t="n">
        <v>39439999.99999999</v>
      </c>
      <c r="D93" s="13" t="n">
        <v>4189999.999999993</v>
      </c>
      <c r="E93" s="17" t="n">
        <v>0.1188652482269501</v>
      </c>
    </row>
    <row r="94" ht="25" customHeight="1">
      <c r="A94" s="6" t="n">
        <v>2023</v>
      </c>
      <c r="B94" s="4" t="inlineStr">
        <is>
          <t>Net Income</t>
        </is>
      </c>
      <c r="C94" s="12" t="n">
        <v>118320000</v>
      </c>
      <c r="D94" s="12" t="n">
        <v>12569999.99999997</v>
      </c>
      <c r="E94" s="16" t="n">
        <v>0.1188652482269501</v>
      </c>
    </row>
    <row r="95" ht="25" customHeight="1">
      <c r="A95" s="9" t="n">
        <v>2023</v>
      </c>
      <c r="B95" s="5" t="inlineStr">
        <is>
          <t>Cash</t>
        </is>
      </c>
      <c r="C95" s="13" t="n">
        <v>183113600</v>
      </c>
      <c r="D95" s="13" t="n">
        <v>84838600.00000003</v>
      </c>
      <c r="E95" s="17" t="n">
        <v>0.8632775375222592</v>
      </c>
    </row>
    <row r="96" ht="35" customHeight="1">
      <c r="A96" s="6" t="n">
        <v>2023</v>
      </c>
      <c r="B96" s="4" t="inlineStr">
        <is>
          <t>Accounts Receivable</t>
        </is>
      </c>
      <c r="C96" s="12" t="n">
        <v>177205479.4520548</v>
      </c>
      <c r="D96" s="12" t="n">
        <v>67890410.9589041</v>
      </c>
      <c r="E96" s="16" t="n">
        <v>0.6210526315789472</v>
      </c>
    </row>
    <row r="97" ht="25" customHeight="1">
      <c r="A97" s="9" t="n">
        <v>2023</v>
      </c>
      <c r="B97" s="5" t="inlineStr">
        <is>
          <t>Inventory</t>
        </is>
      </c>
      <c r="C97" s="13" t="n">
        <v>158009424.6575342</v>
      </c>
      <c r="D97" s="13" t="n">
        <v>38338191.78082192</v>
      </c>
      <c r="E97" s="17" t="n">
        <v>0.3203626373626374</v>
      </c>
    </row>
    <row r="98" ht="35" customHeight="1">
      <c r="A98" s="6" t="n">
        <v>2023</v>
      </c>
      <c r="B98" s="4" t="inlineStr">
        <is>
          <t>Other Current Assets</t>
        </is>
      </c>
      <c r="C98" s="12" t="n">
        <v>29000000</v>
      </c>
      <c r="D98" s="12" t="n">
        <v>4000000</v>
      </c>
      <c r="E98" s="16" t="n">
        <v>0.16</v>
      </c>
    </row>
    <row r="99" ht="35" customHeight="1">
      <c r="A99" s="9" t="n">
        <v>2023</v>
      </c>
      <c r="B99" s="5" t="inlineStr">
        <is>
          <t>Total Current Assets</t>
        </is>
      </c>
      <c r="C99" s="13" t="n">
        <v>547328504.1095891</v>
      </c>
      <c r="D99" s="13" t="n">
        <v>195067202.7397261</v>
      </c>
      <c r="E99" s="17" t="n">
        <v>0.5537571171773756</v>
      </c>
    </row>
    <row r="100" ht="35" customHeight="1">
      <c r="A100" s="6" t="n">
        <v>2023</v>
      </c>
      <c r="B100" s="4" t="inlineStr">
        <is>
          <t>Property Plant Equipment</t>
        </is>
      </c>
      <c r="C100" s="12" t="n">
        <v>576000000</v>
      </c>
      <c r="D100" s="12" t="n">
        <v>126000000</v>
      </c>
      <c r="E100" s="16" t="n">
        <v>0.28</v>
      </c>
    </row>
    <row r="101" ht="35" customHeight="1">
      <c r="A101" s="9" t="n">
        <v>2023</v>
      </c>
      <c r="B101" s="5" t="inlineStr">
        <is>
          <t>Other Non-Current Assets</t>
        </is>
      </c>
      <c r="C101" s="13" t="n">
        <v>56200876.71232852</v>
      </c>
      <c r="D101" s="13" t="n">
        <v>-66576520.5479455</v>
      </c>
      <c r="E101" s="17" t="n">
        <v>-0.5422538841315466</v>
      </c>
    </row>
    <row r="102" ht="25" customHeight="1">
      <c r="A102" s="6" t="n">
        <v>2023</v>
      </c>
      <c r="B102" s="4" t="inlineStr">
        <is>
          <t>Total Assets</t>
        </is>
      </c>
      <c r="C102" s="12" t="n">
        <v>1179529380.821918</v>
      </c>
      <c r="D102" s="12" t="n">
        <v>254490682.1917806</v>
      </c>
      <c r="E102" s="16" t="n">
        <v>0.2751135520801978</v>
      </c>
    </row>
    <row r="103" ht="25" customHeight="1">
      <c r="A103" s="9" t="n">
        <v>2023</v>
      </c>
      <c r="B103" s="5" t="inlineStr">
        <is>
          <t>Accounts Payable</t>
        </is>
      </c>
      <c r="C103" s="13" t="n">
        <v>110127780.8219178</v>
      </c>
      <c r="D103" s="13" t="n">
        <v>24114082.19178084</v>
      </c>
      <c r="E103" s="17" t="n">
        <v>0.2803516483516485</v>
      </c>
    </row>
    <row r="104" ht="25" customHeight="1">
      <c r="A104" s="6" t="n">
        <v>2023</v>
      </c>
      <c r="B104" s="4" t="inlineStr">
        <is>
          <t>Short-Term Debt</t>
        </is>
      </c>
      <c r="C104" s="12" t="n">
        <v>97500000</v>
      </c>
      <c r="D104" s="12" t="n">
        <v>19500000</v>
      </c>
      <c r="E104" s="16" t="n">
        <v>0.25</v>
      </c>
    </row>
    <row r="105" ht="35" customHeight="1">
      <c r="A105" s="9" t="n">
        <v>2023</v>
      </c>
      <c r="B105" s="5" t="inlineStr">
        <is>
          <t>Other Current Liabilities</t>
        </is>
      </c>
      <c r="C105" s="13" t="n">
        <v>39000000</v>
      </c>
      <c r="D105" s="13" t="n">
        <v>4000000</v>
      </c>
      <c r="E105" s="17" t="n">
        <v>0.1142857142857143</v>
      </c>
    </row>
    <row r="106" ht="35" customHeight="1">
      <c r="A106" s="6" t="n">
        <v>2023</v>
      </c>
      <c r="B106" s="4" t="inlineStr">
        <is>
          <t>Total Current Liabilities</t>
        </is>
      </c>
      <c r="C106" s="12" t="n">
        <v>246627780.8219178</v>
      </c>
      <c r="D106" s="12" t="n">
        <v>47614082.19178081</v>
      </c>
      <c r="E106" s="16" t="n">
        <v>0.2392502753303964</v>
      </c>
    </row>
    <row r="107" ht="25" customHeight="1">
      <c r="A107" s="9" t="n">
        <v>2023</v>
      </c>
      <c r="B107" s="5" t="inlineStr">
        <is>
          <t>Long-Term Debt</t>
        </is>
      </c>
      <c r="C107" s="13" t="n">
        <v>227500000</v>
      </c>
      <c r="D107" s="13" t="n">
        <v>45500000</v>
      </c>
      <c r="E107" s="17" t="n">
        <v>0.25</v>
      </c>
    </row>
    <row r="108" ht="35" customHeight="1">
      <c r="A108" s="6" t="n">
        <v>2023</v>
      </c>
      <c r="B108" s="4" t="inlineStr">
        <is>
          <t>Other Non-Current Liabilities</t>
        </is>
      </c>
      <c r="C108" s="12" t="n">
        <v>40000000</v>
      </c>
      <c r="D108" s="12" t="n">
        <v>0</v>
      </c>
      <c r="E108" s="16" t="n">
        <v>0</v>
      </c>
    </row>
    <row r="109" ht="25" customHeight="1">
      <c r="A109" s="9" t="n">
        <v>2023</v>
      </c>
      <c r="B109" s="5" t="inlineStr">
        <is>
          <t>Total Liabilities</t>
        </is>
      </c>
      <c r="C109" s="13" t="n">
        <v>514127780.8219178</v>
      </c>
      <c r="D109" s="13" t="n">
        <v>93114082.19178075</v>
      </c>
      <c r="E109" s="17" t="n">
        <v>0.2211663955228735</v>
      </c>
    </row>
    <row r="110" ht="35" customHeight="1">
      <c r="A110" s="6" t="n">
        <v>2023</v>
      </c>
      <c r="B110" s="4" t="inlineStr">
        <is>
          <t>Shareholders Equity</t>
        </is>
      </c>
      <c r="C110" s="12" t="n">
        <v>665401599.9999999</v>
      </c>
      <c r="D110" s="12" t="n">
        <v>161376599.9999999</v>
      </c>
      <c r="E110" s="16" t="n">
        <v>0.3201757849313028</v>
      </c>
    </row>
    <row r="111" ht="35" customHeight="1">
      <c r="A111" s="9" t="n">
        <v>2023</v>
      </c>
      <c r="B111" s="5" t="inlineStr">
        <is>
          <t>Operating Cash Flow</t>
        </is>
      </c>
      <c r="C111" s="13" t="n">
        <v>149000000</v>
      </c>
      <c r="D111" s="13" t="n">
        <v>24000000</v>
      </c>
      <c r="E111" s="17" t="n">
        <v>0.192</v>
      </c>
    </row>
    <row r="112" ht="35" customHeight="1">
      <c r="A112" s="6" t="n">
        <v>2023</v>
      </c>
      <c r="B112" s="4" t="inlineStr">
        <is>
          <t>Capital Expenditure</t>
        </is>
      </c>
      <c r="C112" s="12" t="n">
        <v>105000000</v>
      </c>
      <c r="D112" s="12" t="n">
        <v>25000000</v>
      </c>
      <c r="E112" s="16" t="n">
        <v>0.3125</v>
      </c>
    </row>
    <row r="113" ht="35" customHeight="1">
      <c r="A113" s="9" t="n">
        <v>2023</v>
      </c>
      <c r="B113" s="5" t="inlineStr">
        <is>
          <t>Investing Cash Flow</t>
        </is>
      </c>
      <c r="C113" s="13" t="n">
        <v>-105000000</v>
      </c>
      <c r="D113" s="13" t="n">
        <v>-25000000</v>
      </c>
      <c r="E113" s="17" t="n"/>
    </row>
    <row r="114" ht="35" customHeight="1">
      <c r="A114" s="6" t="n">
        <v>2023</v>
      </c>
      <c r="B114" s="4" t="inlineStr">
        <is>
          <t>Financing Cash Flow</t>
        </is>
      </c>
      <c r="C114" s="12" t="n">
        <v>-495999.999999988</v>
      </c>
      <c r="D114" s="12" t="n">
        <v>11229000.00000001</v>
      </c>
      <c r="E114" s="16" t="n"/>
    </row>
    <row r="115" ht="25" customHeight="1">
      <c r="A115" s="9" t="n">
        <v>2023</v>
      </c>
      <c r="B115" s="5" t="inlineStr">
        <is>
          <t>Cash Dividends</t>
        </is>
      </c>
      <c r="C115" s="13" t="n">
        <v>35495999.99999999</v>
      </c>
      <c r="D115" s="13" t="n">
        <v>3770999.999999989</v>
      </c>
      <c r="E115" s="17" t="n">
        <v>0.11886524822695</v>
      </c>
    </row>
    <row r="116" ht="25" customHeight="1">
      <c r="A116" s="6" t="n">
        <v>2023</v>
      </c>
      <c r="B116" s="4" t="inlineStr">
        <is>
          <t>Shares Outstanding</t>
        </is>
      </c>
      <c r="C116" s="12" t="n">
        <v>50000000</v>
      </c>
      <c r="D116" s="12" t="n">
        <v>0</v>
      </c>
      <c r="E116" s="16" t="n">
        <v>0</v>
      </c>
    </row>
    <row r="117" ht="35" customHeight="1">
      <c r="A117" s="9" t="n">
        <v>2023</v>
      </c>
      <c r="B117" s="5" t="inlineStr">
        <is>
          <t>Weighted Average Shares Outstanding</t>
        </is>
      </c>
      <c r="C117" s="13" t="n">
        <v>50000000</v>
      </c>
      <c r="D117" s="13" t="n">
        <v>0</v>
      </c>
      <c r="E117" s="17" t="n">
        <v>0</v>
      </c>
    </row>
    <row r="118" ht="35" customHeight="1">
      <c r="A118" s="6" t="n">
        <v>2023</v>
      </c>
      <c r="B118" s="4" t="inlineStr">
        <is>
          <t>Market Price Per Share</t>
        </is>
      </c>
      <c r="C118" s="12" t="n">
        <v>28</v>
      </c>
      <c r="D118" s="12" t="n">
        <v>4</v>
      </c>
      <c r="E118" s="16" t="n">
        <v>0.1666666666666667</v>
      </c>
    </row>
    <row r="119" ht="35" customHeight="1">
      <c r="A119" s="9" t="n">
        <v>2023</v>
      </c>
      <c r="B119" s="5" t="inlineStr">
        <is>
          <t>Preferred Dividends</t>
        </is>
      </c>
      <c r="C119" s="13" t="n">
        <v>0</v>
      </c>
      <c r="D119" s="13" t="n">
        <v>0</v>
      </c>
      <c r="E119" s="17" t="n"/>
    </row>
    <row r="120" ht="25" customHeight="1">
      <c r="A120" s="6" t="n">
        <v>2023</v>
      </c>
      <c r="B120" s="4" t="inlineStr">
        <is>
          <t>Retained Earnings</t>
        </is>
      </c>
      <c r="C120" s="12" t="n">
        <v>265401599.9999999</v>
      </c>
      <c r="D120" s="12" t="n">
        <v>161376599.9999999</v>
      </c>
      <c r="E120" s="16" t="n">
        <v>1.55132516222062</v>
      </c>
    </row>
    <row r="121" ht="25" customHeight="1">
      <c r="A121" s="9" t="n">
        <v>2023</v>
      </c>
      <c r="B121" s="5" t="inlineStr">
        <is>
          <t>Cash Interest Paid</t>
        </is>
      </c>
      <c r="C121" s="13" t="n">
        <v>28000000</v>
      </c>
      <c r="D121" s="13" t="n">
        <v>10000000</v>
      </c>
      <c r="E121" s="17" t="n">
        <v>0.5555555555555556</v>
      </c>
    </row>
    <row r="122" ht="25" customHeight="1">
      <c r="A122" s="6" t="n">
        <v>2023</v>
      </c>
      <c r="B122" s="4" t="inlineStr">
        <is>
          <t>Cash Taxes Paid</t>
        </is>
      </c>
      <c r="C122" s="12" t="n">
        <v>39439999.99999999</v>
      </c>
      <c r="D122" s="12" t="n">
        <v>4189999.999999993</v>
      </c>
      <c r="E122" s="16" t="n">
        <v>0.1188652482269501</v>
      </c>
    </row>
    <row r="123" ht="25" customHeight="1">
      <c r="A123" s="9" t="n">
        <v>2023</v>
      </c>
      <c r="B123" s="5" t="inlineStr">
        <is>
          <t>FX Effect on Cash</t>
        </is>
      </c>
      <c r="C123" s="13" t="n">
        <v>0</v>
      </c>
      <c r="D123" s="13" t="n">
        <v>0</v>
      </c>
      <c r="E123" s="17" t="n"/>
    </row>
    <row r="124" ht="25" customHeight="1">
      <c r="A124" s="6" t="n">
        <v>2024</v>
      </c>
      <c r="B124" s="4" t="inlineStr">
        <is>
          <t>Revenue</t>
        </is>
      </c>
      <c r="C124" s="12" t="n">
        <v>1485000000</v>
      </c>
      <c r="D124" s="12" t="n">
        <v>435000000</v>
      </c>
      <c r="E124" s="16" t="n">
        <v>0.4142857142857143</v>
      </c>
    </row>
    <row r="125" ht="25" customHeight="1">
      <c r="A125" s="9" t="n">
        <v>2024</v>
      </c>
      <c r="B125" s="5" t="inlineStr">
        <is>
          <t>COGS</t>
        </is>
      </c>
      <c r="C125" s="13" t="n">
        <v>991980000</v>
      </c>
      <c r="D125" s="13" t="n">
        <v>309480000</v>
      </c>
      <c r="E125" s="17" t="n">
        <v>0.4534505494505495</v>
      </c>
    </row>
    <row r="126" ht="25" customHeight="1">
      <c r="A126" s="6" t="n">
        <v>2024</v>
      </c>
      <c r="B126" s="4" t="inlineStr">
        <is>
          <t>Gross Profit</t>
        </is>
      </c>
      <c r="C126" s="12" t="n">
        <v>493020000</v>
      </c>
      <c r="D126" s="12" t="n">
        <v>125520000</v>
      </c>
      <c r="E126" s="16" t="n">
        <v>0.3415510204081633</v>
      </c>
    </row>
    <row r="127" ht="25" customHeight="1">
      <c r="A127" s="9" t="n">
        <v>2024</v>
      </c>
      <c r="B127" s="5" t="inlineStr">
        <is>
          <t>Operating Expenses</t>
        </is>
      </c>
      <c r="C127" s="13" t="n">
        <v>252450000</v>
      </c>
      <c r="D127" s="13" t="n">
        <v>73950000.00000003</v>
      </c>
      <c r="E127" s="17" t="n">
        <v>0.4142857142857145</v>
      </c>
    </row>
    <row r="128" ht="25" customHeight="1">
      <c r="A128" s="6" t="n">
        <v>2024</v>
      </c>
      <c r="B128" s="4" t="inlineStr">
        <is>
          <t>EBITDA</t>
        </is>
      </c>
      <c r="C128" s="12" t="n">
        <v>240570000</v>
      </c>
      <c r="D128" s="12" t="n">
        <v>51569999.99999997</v>
      </c>
      <c r="E128" s="16" t="n">
        <v>0.2728571428571427</v>
      </c>
    </row>
    <row r="129" ht="25" customHeight="1">
      <c r="A129" s="9" t="n">
        <v>2024</v>
      </c>
      <c r="B129" s="5" t="inlineStr">
        <is>
          <t>Depreciation</t>
        </is>
      </c>
      <c r="C129" s="13" t="n">
        <v>39000000</v>
      </c>
      <c r="D129" s="13" t="n">
        <v>9000000</v>
      </c>
      <c r="E129" s="17" t="n">
        <v>0.3</v>
      </c>
    </row>
    <row r="130" ht="25" customHeight="1">
      <c r="A130" s="6" t="n">
        <v>2024</v>
      </c>
      <c r="B130" s="4" t="inlineStr">
        <is>
          <t>EBIT</t>
        </is>
      </c>
      <c r="C130" s="12" t="n">
        <v>201570000</v>
      </c>
      <c r="D130" s="12" t="n">
        <v>42569999.99999997</v>
      </c>
      <c r="E130" s="16" t="n">
        <v>0.2677358490566036</v>
      </c>
    </row>
    <row r="131" ht="25" customHeight="1">
      <c r="A131" s="9" t="n">
        <v>2024</v>
      </c>
      <c r="B131" s="5" t="inlineStr">
        <is>
          <t>Interest Expense</t>
        </is>
      </c>
      <c r="C131" s="13" t="n">
        <v>35000000</v>
      </c>
      <c r="D131" s="13" t="n">
        <v>17000000</v>
      </c>
      <c r="E131" s="17" t="n">
        <v>0.9444444444444444</v>
      </c>
    </row>
    <row r="132" ht="25" customHeight="1">
      <c r="A132" s="6" t="n">
        <v>2024</v>
      </c>
      <c r="B132" s="4" t="inlineStr">
        <is>
          <t>EBT</t>
        </is>
      </c>
      <c r="C132" s="12" t="n">
        <v>166570000</v>
      </c>
      <c r="D132" s="12" t="n">
        <v>25569999.99999997</v>
      </c>
      <c r="E132" s="16" t="n">
        <v>0.1813475177304962</v>
      </c>
    </row>
    <row r="133" ht="25" customHeight="1">
      <c r="A133" s="9" t="n">
        <v>2024</v>
      </c>
      <c r="B133" s="5" t="inlineStr">
        <is>
          <t>Tax Expense</t>
        </is>
      </c>
      <c r="C133" s="13" t="n">
        <v>41642499.99999999</v>
      </c>
      <c r="D133" s="13" t="n">
        <v>6392499.999999993</v>
      </c>
      <c r="E133" s="17" t="n">
        <v>0.1813475177304962</v>
      </c>
    </row>
    <row r="134" ht="25" customHeight="1">
      <c r="A134" s="6" t="n">
        <v>2024</v>
      </c>
      <c r="B134" s="4" t="inlineStr">
        <is>
          <t>Net Income</t>
        </is>
      </c>
      <c r="C134" s="12" t="n">
        <v>124927500</v>
      </c>
      <c r="D134" s="12" t="n">
        <v>19177499.99999999</v>
      </c>
      <c r="E134" s="16" t="n">
        <v>0.1813475177304963</v>
      </c>
    </row>
    <row r="135" ht="25" customHeight="1">
      <c r="A135" s="9" t="n">
        <v>2024</v>
      </c>
      <c r="B135" s="5" t="inlineStr">
        <is>
          <t>Cash</t>
        </is>
      </c>
      <c r="C135" s="13" t="n">
        <v>232635350</v>
      </c>
      <c r="D135" s="13" t="n">
        <v>134360350</v>
      </c>
      <c r="E135" s="17" t="n">
        <v>1.367187484100738</v>
      </c>
    </row>
    <row r="136" ht="35" customHeight="1">
      <c r="A136" s="6" t="n">
        <v>2024</v>
      </c>
      <c r="B136" s="4" t="inlineStr">
        <is>
          <t>Accounts Receivable</t>
        </is>
      </c>
      <c r="C136" s="12" t="n">
        <v>227835616.4383562</v>
      </c>
      <c r="D136" s="12" t="n">
        <v>118520547.9452055</v>
      </c>
      <c r="E136" s="16" t="n">
        <v>1.084210526315789</v>
      </c>
    </row>
    <row r="137" ht="25" customHeight="1">
      <c r="A137" s="9" t="n">
        <v>2024</v>
      </c>
      <c r="B137" s="5" t="inlineStr">
        <is>
          <t>Inventory</t>
        </is>
      </c>
      <c r="C137" s="13" t="n">
        <v>184807232.8767123</v>
      </c>
      <c r="D137" s="13" t="n">
        <v>65136000</v>
      </c>
      <c r="E137" s="17" t="n">
        <v>0.5442912087912088</v>
      </c>
    </row>
    <row r="138" ht="35" customHeight="1">
      <c r="A138" s="6" t="n">
        <v>2024</v>
      </c>
      <c r="B138" s="4" t="inlineStr">
        <is>
          <t>Other Current Assets</t>
        </is>
      </c>
      <c r="C138" s="12" t="n">
        <v>31000000</v>
      </c>
      <c r="D138" s="12" t="n">
        <v>6000000</v>
      </c>
      <c r="E138" s="16" t="n">
        <v>0.24</v>
      </c>
    </row>
    <row r="139" ht="35" customHeight="1">
      <c r="A139" s="9" t="n">
        <v>2024</v>
      </c>
      <c r="B139" s="5" t="inlineStr">
        <is>
          <t>Total Current Assets</t>
        </is>
      </c>
      <c r="C139" s="13" t="n">
        <v>676278199.3150685</v>
      </c>
      <c r="D139" s="13" t="n">
        <v>324016897.9452055</v>
      </c>
      <c r="E139" s="17" t="n">
        <v>0.9198197380330408</v>
      </c>
    </row>
    <row r="140" ht="35" customHeight="1">
      <c r="A140" s="6" t="n">
        <v>2024</v>
      </c>
      <c r="B140" s="4" t="inlineStr">
        <is>
          <t>Property Plant Equipment</t>
        </is>
      </c>
      <c r="C140" s="12" t="n">
        <v>652000000</v>
      </c>
      <c r="D140" s="12" t="n">
        <v>202000000</v>
      </c>
      <c r="E140" s="16" t="n">
        <v>0.4488888888888889</v>
      </c>
    </row>
    <row r="141" ht="35" customHeight="1">
      <c r="A141" s="9" t="n">
        <v>2024</v>
      </c>
      <c r="B141" s="5" t="inlineStr">
        <is>
          <t>Other Non-Current Assets</t>
        </is>
      </c>
      <c r="C141" s="13" t="n">
        <v>-4410691.780821822</v>
      </c>
      <c r="D141" s="13" t="n">
        <v>-127188089.0410958</v>
      </c>
      <c r="E141" s="17" t="n">
        <v>-1.035924297788066</v>
      </c>
    </row>
    <row r="142" ht="25" customHeight="1">
      <c r="A142" s="6" t="n">
        <v>2024</v>
      </c>
      <c r="B142" s="4" t="inlineStr">
        <is>
          <t>Total Assets</t>
        </is>
      </c>
      <c r="C142" s="12" t="n">
        <v>1323867507.534247</v>
      </c>
      <c r="D142" s="12" t="n">
        <v>398828808.9041097</v>
      </c>
      <c r="E142" s="16" t="n">
        <v>0.4311482422245942</v>
      </c>
    </row>
    <row r="143" ht="25" customHeight="1">
      <c r="A143" s="9" t="n">
        <v>2024</v>
      </c>
      <c r="B143" s="5" t="inlineStr">
        <is>
          <t>Accounts Payable</t>
        </is>
      </c>
      <c r="C143" s="13" t="n">
        <v>125016657.5342466</v>
      </c>
      <c r="D143" s="13" t="n">
        <v>39002958.9041096</v>
      </c>
      <c r="E143" s="17" t="n">
        <v>0.4534505494505496</v>
      </c>
    </row>
    <row r="144" ht="25" customHeight="1">
      <c r="A144" s="6" t="n">
        <v>2024</v>
      </c>
      <c r="B144" s="4" t="inlineStr">
        <is>
          <t>Short-Term Debt</t>
        </is>
      </c>
      <c r="C144" s="12" t="n">
        <v>109500000</v>
      </c>
      <c r="D144" s="12" t="n">
        <v>31500000</v>
      </c>
      <c r="E144" s="16" t="n">
        <v>0.4038461538461539</v>
      </c>
    </row>
    <row r="145" ht="35" customHeight="1">
      <c r="A145" s="9" t="n">
        <v>2024</v>
      </c>
      <c r="B145" s="5" t="inlineStr">
        <is>
          <t>Other Current Liabilities</t>
        </is>
      </c>
      <c r="C145" s="13" t="n">
        <v>41000000</v>
      </c>
      <c r="D145" s="13" t="n">
        <v>6000000</v>
      </c>
      <c r="E145" s="17" t="n">
        <v>0.1714285714285714</v>
      </c>
    </row>
    <row r="146" ht="35" customHeight="1">
      <c r="A146" s="6" t="n">
        <v>2024</v>
      </c>
      <c r="B146" s="4" t="inlineStr">
        <is>
          <t>Total Current Liabilities</t>
        </is>
      </c>
      <c r="C146" s="12" t="n">
        <v>275516657.5342466</v>
      </c>
      <c r="D146" s="12" t="n">
        <v>76502958.90410957</v>
      </c>
      <c r="E146" s="16" t="n">
        <v>0.3844105176211453</v>
      </c>
    </row>
    <row r="147" ht="25" customHeight="1">
      <c r="A147" s="9" t="n">
        <v>2024</v>
      </c>
      <c r="B147" s="5" t="inlineStr">
        <is>
          <t>Long-Term Debt</t>
        </is>
      </c>
      <c r="C147" s="13" t="n">
        <v>255500000</v>
      </c>
      <c r="D147" s="13" t="n">
        <v>73500000</v>
      </c>
      <c r="E147" s="17" t="n">
        <v>0.4038461538461539</v>
      </c>
    </row>
    <row r="148" ht="35" customHeight="1">
      <c r="A148" s="6" t="n">
        <v>2024</v>
      </c>
      <c r="B148" s="4" t="inlineStr">
        <is>
          <t>Other Non-Current Liabilities</t>
        </is>
      </c>
      <c r="C148" s="12" t="n">
        <v>40000000</v>
      </c>
      <c r="D148" s="12" t="n">
        <v>0</v>
      </c>
      <c r="E148" s="16" t="n">
        <v>0</v>
      </c>
    </row>
    <row r="149" ht="25" customHeight="1">
      <c r="A149" s="9" t="n">
        <v>2024</v>
      </c>
      <c r="B149" s="5" t="inlineStr">
        <is>
          <t>Total Liabilities</t>
        </is>
      </c>
      <c r="C149" s="13" t="n">
        <v>571016657.5342467</v>
      </c>
      <c r="D149" s="13" t="n">
        <v>150002958.9041097</v>
      </c>
      <c r="E149" s="17" t="n">
        <v>0.3562899720179607</v>
      </c>
    </row>
    <row r="150" ht="35" customHeight="1">
      <c r="A150" s="6" t="n">
        <v>2024</v>
      </c>
      <c r="B150" s="4" t="inlineStr">
        <is>
          <t>Shareholders Equity</t>
        </is>
      </c>
      <c r="C150" s="12" t="n">
        <v>752850849.9999999</v>
      </c>
      <c r="D150" s="12" t="n">
        <v>248825849.9999999</v>
      </c>
      <c r="E150" s="16" t="n">
        <v>0.4936775953573729</v>
      </c>
    </row>
    <row r="151" ht="35" customHeight="1">
      <c r="A151" s="9" t="n">
        <v>2024</v>
      </c>
      <c r="B151" s="5" t="inlineStr">
        <is>
          <t>Operating Cash Flow</t>
        </is>
      </c>
      <c r="C151" s="13" t="n">
        <v>162000000</v>
      </c>
      <c r="D151" s="13" t="n">
        <v>37000000</v>
      </c>
      <c r="E151" s="17" t="n">
        <v>0.296</v>
      </c>
    </row>
    <row r="152" ht="35" customHeight="1">
      <c r="A152" s="6" t="n">
        <v>2024</v>
      </c>
      <c r="B152" s="4" t="inlineStr">
        <is>
          <t>Capital Expenditure</t>
        </is>
      </c>
      <c r="C152" s="12" t="n">
        <v>115000000</v>
      </c>
      <c r="D152" s="12" t="n">
        <v>35000000</v>
      </c>
      <c r="E152" s="16" t="n">
        <v>0.4375</v>
      </c>
    </row>
    <row r="153" ht="35" customHeight="1">
      <c r="A153" s="9" t="n">
        <v>2024</v>
      </c>
      <c r="B153" s="5" t="inlineStr">
        <is>
          <t>Investing Cash Flow</t>
        </is>
      </c>
      <c r="C153" s="13" t="n">
        <v>-115000000</v>
      </c>
      <c r="D153" s="13" t="n">
        <v>-35000000</v>
      </c>
      <c r="E153" s="17" t="n"/>
    </row>
    <row r="154" ht="35" customHeight="1">
      <c r="A154" s="6" t="n">
        <v>2024</v>
      </c>
      <c r="B154" s="4" t="inlineStr">
        <is>
          <t>Financing Cash Flow</t>
        </is>
      </c>
      <c r="C154" s="12" t="n">
        <v>2521750.000000004</v>
      </c>
      <c r="D154" s="12" t="n">
        <v>14246750</v>
      </c>
      <c r="E154" s="16" t="n"/>
    </row>
    <row r="155" ht="25" customHeight="1">
      <c r="A155" s="9" t="n">
        <v>2024</v>
      </c>
      <c r="B155" s="5" t="inlineStr">
        <is>
          <t>Cash Dividends</t>
        </is>
      </c>
      <c r="C155" s="13" t="n">
        <v>37478249.99999999</v>
      </c>
      <c r="D155" s="13" t="n">
        <v>5753249.999999996</v>
      </c>
      <c r="E155" s="17" t="n">
        <v>0.1813475177304964</v>
      </c>
    </row>
    <row r="156" ht="25" customHeight="1">
      <c r="A156" s="6" t="n">
        <v>2024</v>
      </c>
      <c r="B156" s="4" t="inlineStr">
        <is>
          <t>Shares Outstanding</t>
        </is>
      </c>
      <c r="C156" s="12" t="n">
        <v>50000000</v>
      </c>
      <c r="D156" s="12" t="n">
        <v>0</v>
      </c>
      <c r="E156" s="16" t="n">
        <v>0</v>
      </c>
    </row>
    <row r="157" ht="35" customHeight="1">
      <c r="A157" s="9" t="n">
        <v>2024</v>
      </c>
      <c r="B157" s="5" t="inlineStr">
        <is>
          <t>Weighted Average Shares Outstanding</t>
        </is>
      </c>
      <c r="C157" s="13" t="n">
        <v>50000000</v>
      </c>
      <c r="D157" s="13" t="n">
        <v>0</v>
      </c>
      <c r="E157" s="17" t="n">
        <v>0</v>
      </c>
    </row>
    <row r="158" ht="35" customHeight="1">
      <c r="A158" s="6" t="n">
        <v>2024</v>
      </c>
      <c r="B158" s="4" t="inlineStr">
        <is>
          <t>Market Price Per Share</t>
        </is>
      </c>
      <c r="C158" s="12" t="n">
        <v>30</v>
      </c>
      <c r="D158" s="12" t="n">
        <v>6</v>
      </c>
      <c r="E158" s="16" t="n">
        <v>0.25</v>
      </c>
    </row>
    <row r="159" ht="35" customHeight="1">
      <c r="A159" s="9" t="n">
        <v>2024</v>
      </c>
      <c r="B159" s="5" t="inlineStr">
        <is>
          <t>Preferred Dividends</t>
        </is>
      </c>
      <c r="C159" s="13" t="n">
        <v>0</v>
      </c>
      <c r="D159" s="13" t="n">
        <v>0</v>
      </c>
      <c r="E159" s="17" t="n"/>
    </row>
    <row r="160" ht="25" customHeight="1">
      <c r="A160" s="6" t="n">
        <v>2024</v>
      </c>
      <c r="B160" s="4" t="inlineStr">
        <is>
          <t>Retained Earnings</t>
        </is>
      </c>
      <c r="C160" s="12" t="n">
        <v>352850849.9999999</v>
      </c>
      <c r="D160" s="12" t="n">
        <v>248825850</v>
      </c>
      <c r="E160" s="16" t="n">
        <v>2.391981254506129</v>
      </c>
    </row>
    <row r="161" ht="25" customHeight="1">
      <c r="A161" s="9" t="n">
        <v>2024</v>
      </c>
      <c r="B161" s="5" t="inlineStr">
        <is>
          <t>Cash Interest Paid</t>
        </is>
      </c>
      <c r="C161" s="13" t="n">
        <v>35000000</v>
      </c>
      <c r="D161" s="13" t="n">
        <v>17000000</v>
      </c>
      <c r="E161" s="17" t="n">
        <v>0.9444444444444444</v>
      </c>
    </row>
    <row r="162" ht="25" customHeight="1">
      <c r="A162" s="6" t="n">
        <v>2024</v>
      </c>
      <c r="B162" s="4" t="inlineStr">
        <is>
          <t>Cash Taxes Paid</t>
        </is>
      </c>
      <c r="C162" s="12" t="n">
        <v>41642499.99999999</v>
      </c>
      <c r="D162" s="12" t="n">
        <v>6392499.999999993</v>
      </c>
      <c r="E162" s="16" t="n">
        <v>0.1813475177304962</v>
      </c>
    </row>
    <row r="163" ht="25" customHeight="1">
      <c r="A163" s="9" t="n">
        <v>2024</v>
      </c>
      <c r="B163" s="5" t="inlineStr">
        <is>
          <t>FX Effect on Cash</t>
        </is>
      </c>
      <c r="C163" s="13" t="n">
        <v>0</v>
      </c>
      <c r="D163" s="13" t="n">
        <v>0</v>
      </c>
      <c r="E163" s="17" t="n"/>
    </row>
    <row r="164" ht="25" customHeight="1">
      <c r="A164" s="6" t="n">
        <v>2025</v>
      </c>
      <c r="B164" s="4" t="inlineStr">
        <is>
          <t>Revenue</t>
        </is>
      </c>
      <c r="C164" s="12" t="n">
        <v>1670000000</v>
      </c>
      <c r="D164" s="12" t="n">
        <v>620000000</v>
      </c>
      <c r="E164" s="16" t="n">
        <v>0.5904761904761905</v>
      </c>
    </row>
    <row r="165" ht="25" customHeight="1">
      <c r="A165" s="9" t="n">
        <v>2025</v>
      </c>
      <c r="B165" s="5" t="inlineStr">
        <is>
          <t>COGS</t>
        </is>
      </c>
      <c r="C165" s="13" t="n">
        <v>1125580000</v>
      </c>
      <c r="D165" s="13" t="n">
        <v>443080000.0000002</v>
      </c>
      <c r="E165" s="17" t="n">
        <v>0.6492014652014656</v>
      </c>
    </row>
    <row r="166" ht="25" customHeight="1">
      <c r="A166" s="6" t="n">
        <v>2025</v>
      </c>
      <c r="B166" s="4" t="inlineStr">
        <is>
          <t>Gross Profit</t>
        </is>
      </c>
      <c r="C166" s="12" t="n">
        <v>544419999.9999999</v>
      </c>
      <c r="D166" s="12" t="n">
        <v>176919999.9999999</v>
      </c>
      <c r="E166" s="16" t="n">
        <v>0.4814149659863942</v>
      </c>
    </row>
    <row r="167" ht="25" customHeight="1">
      <c r="A167" s="9" t="n">
        <v>2025</v>
      </c>
      <c r="B167" s="5" t="inlineStr">
        <is>
          <t>Operating Expenses</t>
        </is>
      </c>
      <c r="C167" s="13" t="n">
        <v>283900000.0000001</v>
      </c>
      <c r="D167" s="13" t="n">
        <v>105400000.0000001</v>
      </c>
      <c r="E167" s="17" t="n">
        <v>0.5904761904761908</v>
      </c>
    </row>
    <row r="168" ht="25" customHeight="1">
      <c r="A168" s="6" t="n">
        <v>2025</v>
      </c>
      <c r="B168" s="4" t="inlineStr">
        <is>
          <t>EBITDA</t>
        </is>
      </c>
      <c r="C168" s="12" t="n">
        <v>260519999.9999998</v>
      </c>
      <c r="D168" s="12" t="n">
        <v>71519999.99999982</v>
      </c>
      <c r="E168" s="16" t="n">
        <v>0.3784126984126975</v>
      </c>
    </row>
    <row r="169" ht="25" customHeight="1">
      <c r="A169" s="9" t="n">
        <v>2025</v>
      </c>
      <c r="B169" s="5" t="inlineStr">
        <is>
          <t>Depreciation</t>
        </is>
      </c>
      <c r="C169" s="13" t="n">
        <v>42000000</v>
      </c>
      <c r="D169" s="13" t="n">
        <v>12000000</v>
      </c>
      <c r="E169" s="17" t="n">
        <v>0.4</v>
      </c>
    </row>
    <row r="170" ht="25" customHeight="1">
      <c r="A170" s="6" t="n">
        <v>2025</v>
      </c>
      <c r="B170" s="4" t="inlineStr">
        <is>
          <t>EBIT</t>
        </is>
      </c>
      <c r="C170" s="12" t="n">
        <v>218519999.9999998</v>
      </c>
      <c r="D170" s="12" t="n">
        <v>59519999.99999982</v>
      </c>
      <c r="E170" s="16" t="n">
        <v>0.3743396226415083</v>
      </c>
    </row>
    <row r="171" ht="25" customHeight="1">
      <c r="A171" s="9" t="n">
        <v>2025</v>
      </c>
      <c r="B171" s="5" t="inlineStr">
        <is>
          <t>Interest Expense</t>
        </is>
      </c>
      <c r="C171" s="13" t="n">
        <v>43000000</v>
      </c>
      <c r="D171" s="13" t="n">
        <v>25000000</v>
      </c>
      <c r="E171" s="17" t="n">
        <v>1.388888888888889</v>
      </c>
    </row>
    <row r="172" ht="25" customHeight="1">
      <c r="A172" s="6" t="n">
        <v>2025</v>
      </c>
      <c r="B172" s="4" t="inlineStr">
        <is>
          <t>EBT</t>
        </is>
      </c>
      <c r="C172" s="12" t="n">
        <v>175519999.9999998</v>
      </c>
      <c r="D172" s="12" t="n">
        <v>34519999.99999982</v>
      </c>
      <c r="E172" s="16" t="n">
        <v>0.2448226950354597</v>
      </c>
    </row>
    <row r="173" ht="25" customHeight="1">
      <c r="A173" s="9" t="n">
        <v>2025</v>
      </c>
      <c r="B173" s="5" t="inlineStr">
        <is>
          <t>Tax Expense</t>
        </is>
      </c>
      <c r="C173" s="13" t="n">
        <v>43879999.99999996</v>
      </c>
      <c r="D173" s="13" t="n">
        <v>8629999.999999955</v>
      </c>
      <c r="E173" s="17" t="n">
        <v>0.2448226950354597</v>
      </c>
    </row>
    <row r="174" ht="25" customHeight="1">
      <c r="A174" s="6" t="n">
        <v>2025</v>
      </c>
      <c r="B174" s="4" t="inlineStr">
        <is>
          <t>Net Income</t>
        </is>
      </c>
      <c r="C174" s="12" t="n">
        <v>131639999.9999999</v>
      </c>
      <c r="D174" s="12" t="n">
        <v>25889999.99999987</v>
      </c>
      <c r="E174" s="16" t="n">
        <v>0.2448226950354597</v>
      </c>
    </row>
    <row r="175" ht="25" customHeight="1">
      <c r="A175" s="9" t="n">
        <v>2025</v>
      </c>
      <c r="B175" s="5" t="inlineStr">
        <is>
          <t>Cash</t>
        </is>
      </c>
      <c r="C175" s="13" t="n">
        <v>288143350.0000001</v>
      </c>
      <c r="D175" s="13" t="n">
        <v>189868350.0000001</v>
      </c>
      <c r="E175" s="17" t="n">
        <v>1.932010684304249</v>
      </c>
    </row>
    <row r="176" ht="35" customHeight="1">
      <c r="A176" s="6" t="n">
        <v>2025</v>
      </c>
      <c r="B176" s="4" t="inlineStr">
        <is>
          <t>Accounts Receivable</t>
        </is>
      </c>
      <c r="C176" s="12" t="n">
        <v>292821917.8082191</v>
      </c>
      <c r="D176" s="12" t="n">
        <v>183506849.3150684</v>
      </c>
      <c r="E176" s="16" t="n">
        <v>1.678696741854636</v>
      </c>
    </row>
    <row r="177" ht="25" customHeight="1">
      <c r="A177" s="9" t="n">
        <v>2025</v>
      </c>
      <c r="B177" s="5" t="inlineStr">
        <is>
          <t>Inventory</t>
        </is>
      </c>
      <c r="C177" s="13" t="n">
        <v>215864657.5342466</v>
      </c>
      <c r="D177" s="13" t="n">
        <v>96193424.65753427</v>
      </c>
      <c r="E177" s="17" t="n">
        <v>0.8038141025641028</v>
      </c>
    </row>
    <row r="178" ht="35" customHeight="1">
      <c r="A178" s="6" t="n">
        <v>2025</v>
      </c>
      <c r="B178" s="4" t="inlineStr">
        <is>
          <t>Other Current Assets</t>
        </is>
      </c>
      <c r="C178" s="12" t="n">
        <v>33000000</v>
      </c>
      <c r="D178" s="12" t="n">
        <v>8000000</v>
      </c>
      <c r="E178" s="16" t="n">
        <v>0.32</v>
      </c>
    </row>
    <row r="179" ht="35" customHeight="1">
      <c r="A179" s="9" t="n">
        <v>2025</v>
      </c>
      <c r="B179" s="5" t="inlineStr">
        <is>
          <t>Total Current Assets</t>
        </is>
      </c>
      <c r="C179" s="13" t="n">
        <v>829829925.3424658</v>
      </c>
      <c r="D179" s="13" t="n">
        <v>477568623.9726027</v>
      </c>
      <c r="E179" s="17" t="n">
        <v>1.355722647124303</v>
      </c>
    </row>
    <row r="180" ht="35" customHeight="1">
      <c r="A180" s="6" t="n">
        <v>2025</v>
      </c>
      <c r="B180" s="4" t="inlineStr">
        <is>
          <t>Property Plant Equipment</t>
        </is>
      </c>
      <c r="C180" s="12" t="n">
        <v>740000000</v>
      </c>
      <c r="D180" s="12" t="n">
        <v>290000000</v>
      </c>
      <c r="E180" s="16" t="n">
        <v>0.6444444444444445</v>
      </c>
    </row>
    <row r="181" ht="35" customHeight="1">
      <c r="A181" s="9" t="n">
        <v>2025</v>
      </c>
      <c r="B181" s="5" t="inlineStr">
        <is>
          <t>Other Non-Current Assets</t>
        </is>
      </c>
      <c r="C181" s="13" t="n">
        <v>-89977157.53424665</v>
      </c>
      <c r="D181" s="13" t="n">
        <v>-212754554.7945207</v>
      </c>
      <c r="E181" s="17" t="n">
        <v>-1.732847898245516</v>
      </c>
    </row>
    <row r="182" ht="25" customHeight="1">
      <c r="A182" s="6" t="n">
        <v>2025</v>
      </c>
      <c r="B182" s="4" t="inlineStr">
        <is>
          <t>Total Assets</t>
        </is>
      </c>
      <c r="C182" s="12" t="n">
        <v>1479852767.808219</v>
      </c>
      <c r="D182" s="12" t="n">
        <v>554814069.1780822</v>
      </c>
      <c r="E182" s="16" t="n">
        <v>0.5997739013510357</v>
      </c>
    </row>
    <row r="183" ht="25" customHeight="1">
      <c r="A183" s="9" t="n">
        <v>2025</v>
      </c>
      <c r="B183" s="5" t="inlineStr">
        <is>
          <t>Accounts Payable</t>
        </is>
      </c>
      <c r="C183" s="13" t="n">
        <v>141853917.8082192</v>
      </c>
      <c r="D183" s="13" t="n">
        <v>55840219.17808221</v>
      </c>
      <c r="E183" s="17" t="n">
        <v>0.6492014652014655</v>
      </c>
    </row>
    <row r="184" ht="25" customHeight="1">
      <c r="A184" s="6" t="n">
        <v>2025</v>
      </c>
      <c r="B184" s="4" t="inlineStr">
        <is>
          <t>Short-Term Debt</t>
        </is>
      </c>
      <c r="C184" s="12" t="n">
        <v>123000000</v>
      </c>
      <c r="D184" s="12" t="n">
        <v>45000000</v>
      </c>
      <c r="E184" s="16" t="n">
        <v>0.5769230769230769</v>
      </c>
    </row>
    <row r="185" ht="35" customHeight="1">
      <c r="A185" s="9" t="n">
        <v>2025</v>
      </c>
      <c r="B185" s="5" t="inlineStr">
        <is>
          <t>Other Current Liabilities</t>
        </is>
      </c>
      <c r="C185" s="13" t="n">
        <v>43000000</v>
      </c>
      <c r="D185" s="13" t="n">
        <v>8000000</v>
      </c>
      <c r="E185" s="17" t="n">
        <v>0.2285714285714286</v>
      </c>
    </row>
    <row r="186" ht="35" customHeight="1">
      <c r="A186" s="6" t="n">
        <v>2025</v>
      </c>
      <c r="B186" s="4" t="inlineStr">
        <is>
          <t>Total Current Liabilities</t>
        </is>
      </c>
      <c r="C186" s="12" t="n">
        <v>307853917.8082192</v>
      </c>
      <c r="D186" s="12" t="n">
        <v>108840219.1780822</v>
      </c>
      <c r="E186" s="16" t="n">
        <v>0.5468981277533039</v>
      </c>
    </row>
    <row r="187" ht="25" customHeight="1">
      <c r="A187" s="9" t="n">
        <v>2025</v>
      </c>
      <c r="B187" s="5" t="inlineStr">
        <is>
          <t>Long-Term Debt</t>
        </is>
      </c>
      <c r="C187" s="13" t="n">
        <v>287000000</v>
      </c>
      <c r="D187" s="13" t="n">
        <v>105000000</v>
      </c>
      <c r="E187" s="17" t="n">
        <v>0.5769230769230769</v>
      </c>
    </row>
    <row r="188" ht="35" customHeight="1">
      <c r="A188" s="6" t="n">
        <v>2025</v>
      </c>
      <c r="B188" s="4" t="inlineStr">
        <is>
          <t>Other Non-Current Liabilities</t>
        </is>
      </c>
      <c r="C188" s="12" t="n">
        <v>40000000</v>
      </c>
      <c r="D188" s="12" t="n">
        <v>0</v>
      </c>
      <c r="E188" s="16" t="n">
        <v>0</v>
      </c>
    </row>
    <row r="189" ht="25" customHeight="1">
      <c r="A189" s="9" t="n">
        <v>2025</v>
      </c>
      <c r="B189" s="5" t="inlineStr">
        <is>
          <t>Total Liabilities</t>
        </is>
      </c>
      <c r="C189" s="13" t="n">
        <v>634853917.8082192</v>
      </c>
      <c r="D189" s="13" t="n">
        <v>213840219.1780822</v>
      </c>
      <c r="E189" s="17" t="n">
        <v>0.5079174855209213</v>
      </c>
    </row>
    <row r="190" ht="35" customHeight="1">
      <c r="A190" s="6" t="n">
        <v>2025</v>
      </c>
      <c r="B190" s="4" t="inlineStr">
        <is>
          <t>Shareholders Equity</t>
        </is>
      </c>
      <c r="C190" s="12" t="n">
        <v>844998849.9999999</v>
      </c>
      <c r="D190" s="12" t="n">
        <v>340973849.9999999</v>
      </c>
      <c r="E190" s="16" t="n">
        <v>0.6765018600267841</v>
      </c>
    </row>
    <row r="191" ht="35" customHeight="1">
      <c r="A191" s="9" t="n">
        <v>2025</v>
      </c>
      <c r="B191" s="5" t="inlineStr">
        <is>
          <t>Operating Cash Flow</t>
        </is>
      </c>
      <c r="C191" s="13" t="n">
        <v>180000000</v>
      </c>
      <c r="D191" s="13" t="n">
        <v>55000000</v>
      </c>
      <c r="E191" s="17" t="n">
        <v>0.44</v>
      </c>
    </row>
    <row r="192" ht="35" customHeight="1">
      <c r="A192" s="6" t="n">
        <v>2025</v>
      </c>
      <c r="B192" s="4" t="inlineStr">
        <is>
          <t>Capital Expenditure</t>
        </is>
      </c>
      <c r="C192" s="12" t="n">
        <v>130000000</v>
      </c>
      <c r="D192" s="12" t="n">
        <v>50000000</v>
      </c>
      <c r="E192" s="16" t="n">
        <v>0.625</v>
      </c>
    </row>
    <row r="193" ht="35" customHeight="1">
      <c r="A193" s="9" t="n">
        <v>2025</v>
      </c>
      <c r="B193" s="5" t="inlineStr">
        <is>
          <t>Investing Cash Flow</t>
        </is>
      </c>
      <c r="C193" s="13" t="n">
        <v>-130000000</v>
      </c>
      <c r="D193" s="13" t="n">
        <v>-50000000</v>
      </c>
      <c r="E193" s="17" t="n"/>
    </row>
    <row r="194" ht="35" customHeight="1">
      <c r="A194" s="6" t="n">
        <v>2025</v>
      </c>
      <c r="B194" s="4" t="inlineStr">
        <is>
          <t>Financing Cash Flow</t>
        </is>
      </c>
      <c r="C194" s="12" t="n">
        <v>5508000.000000038</v>
      </c>
      <c r="D194" s="12" t="n">
        <v>17233000.00000004</v>
      </c>
      <c r="E194" s="16" t="n"/>
    </row>
    <row r="195" ht="25" customHeight="1">
      <c r="A195" s="9" t="n">
        <v>2025</v>
      </c>
      <c r="B195" s="5" t="inlineStr">
        <is>
          <t>Cash Dividends</t>
        </is>
      </c>
      <c r="C195" s="13" t="n">
        <v>39491999.99999996</v>
      </c>
      <c r="D195" s="13" t="n">
        <v>7766999.999999966</v>
      </c>
      <c r="E195" s="17" t="n">
        <v>0.24482269503546</v>
      </c>
    </row>
    <row r="196" ht="25" customHeight="1">
      <c r="A196" s="6" t="n">
        <v>2025</v>
      </c>
      <c r="B196" s="4" t="inlineStr">
        <is>
          <t>Shares Outstanding</t>
        </is>
      </c>
      <c r="C196" s="12" t="n">
        <v>50000000</v>
      </c>
      <c r="D196" s="12" t="n">
        <v>0</v>
      </c>
      <c r="E196" s="16" t="n">
        <v>0</v>
      </c>
    </row>
    <row r="197" ht="35" customHeight="1">
      <c r="A197" s="9" t="n">
        <v>2025</v>
      </c>
      <c r="B197" s="5" t="inlineStr">
        <is>
          <t>Weighted Average Shares Outstanding</t>
        </is>
      </c>
      <c r="C197" s="13" t="n">
        <v>50000000</v>
      </c>
      <c r="D197" s="13" t="n">
        <v>0</v>
      </c>
      <c r="E197" s="17" t="n">
        <v>0</v>
      </c>
    </row>
    <row r="198" ht="35" customHeight="1">
      <c r="A198" s="6" t="n">
        <v>2025</v>
      </c>
      <c r="B198" s="4" t="inlineStr">
        <is>
          <t>Market Price Per Share</t>
        </is>
      </c>
      <c r="C198" s="12" t="n">
        <v>32</v>
      </c>
      <c r="D198" s="12" t="n">
        <v>8</v>
      </c>
      <c r="E198" s="16" t="n">
        <v>0.3333333333333333</v>
      </c>
    </row>
    <row r="199" ht="35" customHeight="1">
      <c r="A199" s="9" t="n">
        <v>2025</v>
      </c>
      <c r="B199" s="5" t="inlineStr">
        <is>
          <t>Preferred Dividends</t>
        </is>
      </c>
      <c r="C199" s="13" t="n">
        <v>0</v>
      </c>
      <c r="D199" s="13" t="n">
        <v>0</v>
      </c>
      <c r="E199" s="17" t="n"/>
    </row>
    <row r="200" ht="25" customHeight="1">
      <c r="A200" s="6" t="n">
        <v>2025</v>
      </c>
      <c r="B200" s="4" t="inlineStr">
        <is>
          <t>Retained Earnings</t>
        </is>
      </c>
      <c r="C200" s="12" t="n">
        <v>444998849.9999998</v>
      </c>
      <c r="D200" s="12" t="n">
        <v>340973849.9999999</v>
      </c>
      <c r="E200" s="16" t="n">
        <v>3.277806777217015</v>
      </c>
    </row>
    <row r="201" ht="25" customHeight="1">
      <c r="A201" s="9" t="n">
        <v>2025</v>
      </c>
      <c r="B201" s="5" t="inlineStr">
        <is>
          <t>Cash Interest Paid</t>
        </is>
      </c>
      <c r="C201" s="13" t="n">
        <v>43000000</v>
      </c>
      <c r="D201" s="13" t="n">
        <v>25000000</v>
      </c>
      <c r="E201" s="17" t="n">
        <v>1.388888888888889</v>
      </c>
    </row>
    <row r="202" ht="25" customHeight="1">
      <c r="A202" s="6" t="n">
        <v>2025</v>
      </c>
      <c r="B202" s="4" t="inlineStr">
        <is>
          <t>Cash Taxes Paid</t>
        </is>
      </c>
      <c r="C202" s="12" t="n">
        <v>43879999.99999996</v>
      </c>
      <c r="D202" s="12" t="n">
        <v>8629999.999999955</v>
      </c>
      <c r="E202" s="16" t="n">
        <v>0.2448226950354597</v>
      </c>
    </row>
    <row r="203" ht="25" customHeight="1">
      <c r="A203" s="9" t="n">
        <v>2025</v>
      </c>
      <c r="B203" s="5" t="inlineStr">
        <is>
          <t>FX Effect on Cash</t>
        </is>
      </c>
      <c r="C203" s="13" t="n">
        <v>0</v>
      </c>
      <c r="D203" s="13" t="n">
        <v>0</v>
      </c>
      <c r="E203" s="17" t="n"/>
    </row>
  </sheetData>
  <autoFilter ref="A3:E203"/>
  <mergeCells count="2">
    <mergeCell ref="A2:E2"/>
    <mergeCell ref="A1:E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F3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Vertical Analysis</t>
        </is>
      </c>
    </row>
    <row r="2" ht="36" customHeight="1">
      <c r="A2" s="2" t="inlineStr">
        <is>
          <t>Income items / revenue; balance items / total assets.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Revenue</t>
        </is>
      </c>
      <c r="B4" s="14" t="n">
        <v>1</v>
      </c>
      <c r="C4" s="14" t="n">
        <v>1</v>
      </c>
      <c r="D4" s="14" t="n">
        <v>1</v>
      </c>
      <c r="E4" s="14" t="n">
        <v>1</v>
      </c>
      <c r="F4" s="14" t="n">
        <v>1</v>
      </c>
    </row>
    <row r="5" ht="25" customHeight="1">
      <c r="A5" s="5" t="inlineStr">
        <is>
          <t>COGS</t>
        </is>
      </c>
      <c r="B5" s="15" t="n">
        <v>0.65</v>
      </c>
      <c r="C5" s="15" t="n">
        <v>0.656</v>
      </c>
      <c r="D5" s="15" t="n">
        <v>0.662</v>
      </c>
      <c r="E5" s="15" t="n">
        <v>0.668</v>
      </c>
      <c r="F5" s="15" t="n">
        <v>0.6740000000000002</v>
      </c>
    </row>
    <row r="6" ht="25" customHeight="1">
      <c r="A6" s="4" t="inlineStr">
        <is>
          <t>Gross Profit</t>
        </is>
      </c>
      <c r="B6" s="14" t="n">
        <v>0.35</v>
      </c>
      <c r="C6" s="14" t="n">
        <v>0.344</v>
      </c>
      <c r="D6" s="14" t="n">
        <v>0.338</v>
      </c>
      <c r="E6" s="14" t="n">
        <v>0.332</v>
      </c>
      <c r="F6" s="14" t="n">
        <v>0.3259999999999999</v>
      </c>
    </row>
    <row r="7" ht="25" customHeight="1">
      <c r="A7" s="5" t="inlineStr">
        <is>
          <t>Operating Expenses</t>
        </is>
      </c>
      <c r="B7" s="15" t="n">
        <v>0.17</v>
      </c>
      <c r="C7" s="15" t="n">
        <v>0.17</v>
      </c>
      <c r="D7" s="15" t="n">
        <v>0.17</v>
      </c>
      <c r="E7" s="15" t="n">
        <v>0.17</v>
      </c>
      <c r="F7" s="15" t="n">
        <v>0.17</v>
      </c>
    </row>
    <row r="8" ht="25" customHeight="1">
      <c r="A8" s="4" t="inlineStr">
        <is>
          <t>EBITDA</t>
        </is>
      </c>
      <c r="B8" s="14" t="n">
        <v>0.18</v>
      </c>
      <c r="C8" s="14" t="n">
        <v>0.174</v>
      </c>
      <c r="D8" s="14" t="n">
        <v>0.168</v>
      </c>
      <c r="E8" s="14" t="n">
        <v>0.162</v>
      </c>
      <c r="F8" s="14" t="n">
        <v>0.1559999999999999</v>
      </c>
    </row>
    <row r="9" ht="25" customHeight="1">
      <c r="A9" s="5" t="inlineStr">
        <is>
          <t>Depreciation</t>
        </is>
      </c>
      <c r="B9" s="15" t="n">
        <v>0.02857142857142857</v>
      </c>
      <c r="C9" s="15" t="n">
        <v>0.02806122448979592</v>
      </c>
      <c r="D9" s="15" t="n">
        <v>0.02727272727272727</v>
      </c>
      <c r="E9" s="15" t="n">
        <v>0.02626262626262626</v>
      </c>
      <c r="F9" s="15" t="n">
        <v>0.02514970059880239</v>
      </c>
    </row>
    <row r="10" ht="25" customHeight="1">
      <c r="A10" s="4" t="inlineStr">
        <is>
          <t>EBIT</t>
        </is>
      </c>
      <c r="B10" s="14" t="n">
        <v>0.1514285714285714</v>
      </c>
      <c r="C10" s="14" t="n">
        <v>0.1459387755102041</v>
      </c>
      <c r="D10" s="14" t="n">
        <v>0.1407272727272727</v>
      </c>
      <c r="E10" s="14" t="n">
        <v>0.1357373737373737</v>
      </c>
      <c r="F10" s="14" t="n">
        <v>0.1308502994011975</v>
      </c>
    </row>
    <row r="11" ht="25" customHeight="1">
      <c r="A11" s="5" t="inlineStr">
        <is>
          <t>Interest Expense</t>
        </is>
      </c>
      <c r="B11" s="15" t="n">
        <v>0.01714285714285714</v>
      </c>
      <c r="C11" s="15" t="n">
        <v>0.01870748299319728</v>
      </c>
      <c r="D11" s="15" t="n">
        <v>0.02121212121212121</v>
      </c>
      <c r="E11" s="15" t="n">
        <v>0.02356902356902357</v>
      </c>
      <c r="F11" s="15" t="n">
        <v>0.02574850299401198</v>
      </c>
    </row>
    <row r="12" ht="25" customHeight="1">
      <c r="A12" s="4" t="inlineStr">
        <is>
          <t>EBT</t>
        </is>
      </c>
      <c r="B12" s="14" t="n">
        <v>0.1342857142857143</v>
      </c>
      <c r="C12" s="14" t="n">
        <v>0.1272312925170068</v>
      </c>
      <c r="D12" s="14" t="n">
        <v>0.1195151515151515</v>
      </c>
      <c r="E12" s="14" t="n">
        <v>0.1121683501683502</v>
      </c>
      <c r="F12" s="14" t="n">
        <v>0.1051017964071855</v>
      </c>
    </row>
    <row r="13" ht="25" customHeight="1">
      <c r="A13" s="5" t="inlineStr">
        <is>
          <t>Tax Expense</t>
        </is>
      </c>
      <c r="B13" s="15" t="n">
        <v>0.03357142857142857</v>
      </c>
      <c r="C13" s="15" t="n">
        <v>0.03180782312925169</v>
      </c>
      <c r="D13" s="15" t="n">
        <v>0.02987878787878787</v>
      </c>
      <c r="E13" s="15" t="n">
        <v>0.02804208754208754</v>
      </c>
      <c r="F13" s="15" t="n">
        <v>0.02627544910179638</v>
      </c>
    </row>
    <row r="14" ht="25" customHeight="1">
      <c r="A14" s="4" t="inlineStr">
        <is>
          <t>Net Income</t>
        </is>
      </c>
      <c r="B14" s="14" t="n">
        <v>0.1007142857142857</v>
      </c>
      <c r="C14" s="14" t="n">
        <v>0.09542346938775507</v>
      </c>
      <c r="D14" s="14" t="n">
        <v>0.08963636363636361</v>
      </c>
      <c r="E14" s="14" t="n">
        <v>0.08412626262626262</v>
      </c>
      <c r="F14" s="14" t="n">
        <v>0.07882634730538914</v>
      </c>
    </row>
    <row r="15" ht="25" customHeight="1">
      <c r="A15" s="5" t="inlineStr">
        <is>
          <t>Cash</t>
        </is>
      </c>
      <c r="B15" s="15" t="n">
        <v>0.1062387985989479</v>
      </c>
      <c r="C15" s="15" t="n">
        <v>0.1333676993573121</v>
      </c>
      <c r="D15" s="15" t="n">
        <v>0.1552429324587092</v>
      </c>
      <c r="E15" s="15" t="n">
        <v>0.1757240423804133</v>
      </c>
      <c r="F15" s="15" t="n">
        <v>0.1947108227710811</v>
      </c>
    </row>
    <row r="16" ht="25" customHeight="1">
      <c r="A16" s="4" t="inlineStr">
        <is>
          <t>Accounts Receivable</t>
        </is>
      </c>
      <c r="B16" s="14" t="n">
        <v>0.1181735084759505</v>
      </c>
      <c r="C16" s="14" t="n">
        <v>0.132348276342196</v>
      </c>
      <c r="D16" s="14" t="n">
        <v>0.1502340529479433</v>
      </c>
      <c r="E16" s="14" t="n">
        <v>0.1720985031672154</v>
      </c>
      <c r="F16" s="14" t="n">
        <v>0.1978723317468345</v>
      </c>
    </row>
    <row r="17" ht="25" customHeight="1">
      <c r="A17" s="5" t="inlineStr">
        <is>
          <t>Inventory</t>
        </is>
      </c>
      <c r="B17" s="15" t="n">
        <v>0.1293688934894616</v>
      </c>
      <c r="C17" s="15" t="n">
        <v>0.1312402442611915</v>
      </c>
      <c r="D17" s="15" t="n">
        <v>0.1339597192122763</v>
      </c>
      <c r="E17" s="15" t="n">
        <v>0.1395964715690642</v>
      </c>
      <c r="F17" s="15" t="n">
        <v>0.1458690095596196</v>
      </c>
    </row>
    <row r="18" ht="25" customHeight="1">
      <c r="A18" s="4" t="inlineStr">
        <is>
          <t>Other Current Assets</t>
        </is>
      </c>
      <c r="B18" s="14" t="n">
        <v>0.02702589636198115</v>
      </c>
      <c r="C18" s="14" t="n">
        <v>0.02579283862031999</v>
      </c>
      <c r="D18" s="14" t="n">
        <v>0.02458607684684571</v>
      </c>
      <c r="E18" s="14" t="n">
        <v>0.02341624054036848</v>
      </c>
      <c r="F18" s="14" t="n">
        <v>0.02229951568011435</v>
      </c>
    </row>
    <row r="19" ht="25" customHeight="1">
      <c r="A19" s="5" t="inlineStr">
        <is>
          <t>Total Current Assets</t>
        </is>
      </c>
      <c r="B19" s="15" t="n">
        <v>0.3808070969263411</v>
      </c>
      <c r="C19" s="15" t="n">
        <v>0.4227490585810196</v>
      </c>
      <c r="D19" s="15" t="n">
        <v>0.4640227814657746</v>
      </c>
      <c r="E19" s="15" t="n">
        <v>0.5108352576570613</v>
      </c>
      <c r="F19" s="15" t="n">
        <v>0.5607516797576495</v>
      </c>
    </row>
    <row r="20" ht="25" customHeight="1">
      <c r="A20" s="4" t="inlineStr">
        <is>
          <t>Property Plant Equipment</t>
        </is>
      </c>
      <c r="B20" s="14" t="n">
        <v>0.4864661345156608</v>
      </c>
      <c r="C20" s="14" t="n">
        <v>0.4843321918704532</v>
      </c>
      <c r="D20" s="14" t="n">
        <v>0.4883303539235561</v>
      </c>
      <c r="E20" s="14" t="n">
        <v>0.4924964139458144</v>
      </c>
      <c r="F20" s="14" t="n">
        <v>0.5000497455540793</v>
      </c>
    </row>
    <row r="21" ht="25" customHeight="1">
      <c r="A21" s="5" t="inlineStr">
        <is>
          <t>Other Non-Current Assets</t>
        </is>
      </c>
      <c r="B21" s="15" t="n">
        <v>0.1327267685579982</v>
      </c>
      <c r="C21" s="15" t="n">
        <v>0.09291874954852718</v>
      </c>
      <c r="D21" s="15" t="n">
        <v>0.04764686461066932</v>
      </c>
      <c r="E21" s="15" t="n">
        <v>-0.003331671602875806</v>
      </c>
      <c r="F21" s="15" t="n">
        <v>-0.06080142531172885</v>
      </c>
    </row>
    <row r="22" ht="25" customHeight="1">
      <c r="A22" s="4" t="inlineStr">
        <is>
          <t>Total Assets</t>
        </is>
      </c>
      <c r="B22" s="14" t="n">
        <v>1</v>
      </c>
      <c r="C22" s="14" t="n">
        <v>1</v>
      </c>
      <c r="D22" s="14" t="n">
        <v>1</v>
      </c>
      <c r="E22" s="14" t="n">
        <v>1</v>
      </c>
      <c r="F22" s="14" t="n">
        <v>1</v>
      </c>
    </row>
    <row r="23" ht="25" customHeight="1">
      <c r="A23" s="5" t="inlineStr">
        <is>
          <t>Accounts Payable</t>
        </is>
      </c>
      <c r="B23" s="15" t="n">
        <v>0.09298389219555049</v>
      </c>
      <c r="C23" s="15" t="n">
        <v>0.09287771132330479</v>
      </c>
      <c r="D23" s="15" t="n">
        <v>0.09336586490552594</v>
      </c>
      <c r="E23" s="15" t="n">
        <v>0.09443290723789637</v>
      </c>
      <c r="F23" s="15" t="n">
        <v>0.09585677771060715</v>
      </c>
    </row>
    <row r="24" ht="25" customHeight="1">
      <c r="A24" s="4" t="inlineStr">
        <is>
          <t>Short-Term Debt</t>
        </is>
      </c>
      <c r="B24" s="14" t="n">
        <v>0.08432079664938121</v>
      </c>
      <c r="C24" s="14" t="n">
        <v>0.08311025777658665</v>
      </c>
      <c r="D24" s="14" t="n">
        <v>0.08266008595060195</v>
      </c>
      <c r="E24" s="14" t="n">
        <v>0.08271220448936607</v>
      </c>
      <c r="F24" s="14" t="n">
        <v>0.08311637662588074</v>
      </c>
    </row>
    <row r="25" ht="25" customHeight="1">
      <c r="A25" s="5" t="inlineStr">
        <is>
          <t>Other Current Liabilities</t>
        </is>
      </c>
      <c r="B25" s="15" t="n">
        <v>0.03783625490677361</v>
      </c>
      <c r="C25" s="15" t="n">
        <v>0.0353457418130311</v>
      </c>
      <c r="D25" s="15" t="n">
        <v>0.03306403438024078</v>
      </c>
      <c r="E25" s="15" t="n">
        <v>0.0309698665211325</v>
      </c>
      <c r="F25" s="15" t="n">
        <v>0.02905694467408839</v>
      </c>
    </row>
    <row r="26" ht="25" customHeight="1">
      <c r="A26" s="4" t="inlineStr">
        <is>
          <t>Total Current Liabilities</t>
        </is>
      </c>
      <c r="B26" s="14" t="n">
        <v>0.2151409437517053</v>
      </c>
      <c r="C26" s="14" t="n">
        <v>0.2113337109129226</v>
      </c>
      <c r="D26" s="14" t="n">
        <v>0.2090899852363687</v>
      </c>
      <c r="E26" s="14" t="n">
        <v>0.2081149782483949</v>
      </c>
      <c r="F26" s="14" t="n">
        <v>0.2080300990105763</v>
      </c>
    </row>
    <row r="27" ht="25" customHeight="1">
      <c r="A27" s="5" t="inlineStr">
        <is>
          <t>Long-Term Debt</t>
        </is>
      </c>
      <c r="B27" s="15" t="n">
        <v>0.1967485255152228</v>
      </c>
      <c r="C27" s="15" t="n">
        <v>0.1939239348120355</v>
      </c>
      <c r="D27" s="15" t="n">
        <v>0.1928735338847379</v>
      </c>
      <c r="E27" s="15" t="n">
        <v>0.1929951438085208</v>
      </c>
      <c r="F27" s="15" t="n">
        <v>0.1939382121270551</v>
      </c>
    </row>
    <row r="28" ht="25" customHeight="1">
      <c r="A28" s="4" t="inlineStr">
        <is>
          <t>Other Non-Current Liabilities</t>
        </is>
      </c>
      <c r="B28" s="14" t="n">
        <v>0.04324143417916985</v>
      </c>
      <c r="C28" s="14" t="n">
        <v>0.03821161277084444</v>
      </c>
      <c r="D28" s="14" t="n">
        <v>0.03391183013358029</v>
      </c>
      <c r="E28" s="14" t="n">
        <v>0.0302145039230561</v>
      </c>
      <c r="F28" s="14" t="n">
        <v>0.02702971597589618</v>
      </c>
    </row>
    <row r="29" ht="25" customHeight="1">
      <c r="A29" s="5" t="inlineStr">
        <is>
          <t>Total Liabilities</t>
        </is>
      </c>
      <c r="B29" s="15" t="n">
        <v>0.455130903446098</v>
      </c>
      <c r="C29" s="15" t="n">
        <v>0.4434692584958025</v>
      </c>
      <c r="D29" s="15" t="n">
        <v>0.4358753492546868</v>
      </c>
      <c r="E29" s="15" t="n">
        <v>0.431324625979972</v>
      </c>
      <c r="F29" s="15" t="n">
        <v>0.4289980271135275</v>
      </c>
    </row>
    <row r="30" ht="25" customHeight="1">
      <c r="A30" s="4" t="inlineStr">
        <is>
          <t>Shareholders Equity</t>
        </is>
      </c>
      <c r="B30" s="14" t="n">
        <v>0.544869096553902</v>
      </c>
      <c r="C30" s="14" t="n">
        <v>0.5565307415041976</v>
      </c>
      <c r="D30" s="14" t="n">
        <v>0.5641246507453133</v>
      </c>
      <c r="E30" s="14" t="n">
        <v>0.5686753740200279</v>
      </c>
      <c r="F30" s="14" t="n">
        <v>0.5710019728864724</v>
      </c>
    </row>
  </sheetData>
  <autoFilter ref="A3:F30"/>
  <mergeCells count="2">
    <mergeCell ref="A2:F2"/>
    <mergeCell ref="A1:F1"/>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F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DuPont</t>
        </is>
      </c>
    </row>
    <row r="2" ht="36" customHeight="1">
      <c r="A2" s="2" t="inlineStr">
        <is>
          <t>Net margin × asset turnover × equity multiplier. ROE and net margin are decimal ratios.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Net Profit Margin</t>
        </is>
      </c>
      <c r="B4" s="16" t="n">
        <v>0.1007142857142857</v>
      </c>
      <c r="C4" s="16" t="n">
        <v>0.09542346938775507</v>
      </c>
      <c r="D4" s="16" t="n">
        <v>0.08963636363636361</v>
      </c>
      <c r="E4" s="16" t="n">
        <v>0.08412626262626262</v>
      </c>
      <c r="F4" s="16" t="n">
        <v>0.07882634730538914</v>
      </c>
    </row>
    <row r="5" ht="25" customHeight="1">
      <c r="A5" s="5" t="inlineStr">
        <is>
          <t>Asset Turnover</t>
        </is>
      </c>
      <c r="B5" s="13" t="n">
        <v>1.135087647203209</v>
      </c>
      <c r="C5" s="13" t="n">
        <v>1.192794008602698</v>
      </c>
      <c r="D5" s="13" t="n">
        <v>1.185807196236117</v>
      </c>
      <c r="E5" s="13" t="n">
        <v>1.186387988981734</v>
      </c>
      <c r="F5" s="13" t="n">
        <v>1.191274332669306</v>
      </c>
    </row>
    <row r="6" ht="25" customHeight="1">
      <c r="A6" s="4" t="inlineStr">
        <is>
          <t>Equity Multiplier</t>
        </is>
      </c>
      <c r="B6" s="12" t="n">
        <v>1.835303206448365</v>
      </c>
      <c r="C6" s="12" t="n">
        <v>1.814684494967119</v>
      </c>
      <c r="D6" s="12" t="n">
        <v>1.783949261816815</v>
      </c>
      <c r="E6" s="12" t="n">
        <v>1.765127843323073</v>
      </c>
      <c r="F6" s="12" t="n">
        <v>1.754683356852942</v>
      </c>
    </row>
    <row r="7" ht="25" customHeight="1">
      <c r="A7" s="5" t="inlineStr">
        <is>
          <t>DuPont ROE</t>
        </is>
      </c>
      <c r="B7" s="17" t="n">
        <v>0.2098110212787064</v>
      </c>
      <c r="C7" s="17" t="n">
        <v>0.2065483738028971</v>
      </c>
      <c r="D7" s="17" t="n">
        <v>0.1896185449244666</v>
      </c>
      <c r="E7" s="17" t="n">
        <v>0.1761710335843242</v>
      </c>
      <c r="F7" s="17" t="n">
        <v>0.1647714425205323</v>
      </c>
    </row>
  </sheetData>
  <autoFilter ref="A3:F7"/>
  <mergeCells count="2">
    <mergeCell ref="A2:F2"/>
    <mergeCell ref="A1:F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F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Working Capital</t>
        </is>
      </c>
    </row>
    <row r="2" ht="38" customHeight="1">
      <c r="A2" s="2" t="inlineStr">
        <is>
          <t>First-year average-balance ratios use ending balances because opening balances are unavailable. Later years use the mean of consecutive opening and closing balances. Revenue proxies credit sales; COGS proxies purchases. Full fiscal years use 365 days.</t>
        </is>
      </c>
    </row>
    <row r="3" ht="32" customHeight="1">
      <c r="A3" s="3" t="inlineStr">
        <is>
          <t>Metric</t>
        </is>
      </c>
      <c r="B3" s="3" t="inlineStr">
        <is>
          <t>2021</t>
        </is>
      </c>
      <c r="C3" s="3" t="inlineStr">
        <is>
          <t>2022</t>
        </is>
      </c>
      <c r="D3" s="3" t="inlineStr">
        <is>
          <t>2023</t>
        </is>
      </c>
      <c r="E3" s="3" t="inlineStr">
        <is>
          <t>2024</t>
        </is>
      </c>
      <c r="F3" s="3" t="inlineStr">
        <is>
          <t>2025</t>
        </is>
      </c>
    </row>
    <row r="4" ht="25" customHeight="1">
      <c r="A4" s="4" t="inlineStr">
        <is>
          <t>Net Working Capital</t>
        </is>
      </c>
      <c r="B4" s="12" t="n">
        <v>153247602.739726</v>
      </c>
      <c r="C4" s="12" t="n">
        <v>221310049.3150685</v>
      </c>
      <c r="D4" s="12" t="n">
        <v>300700723.2876713</v>
      </c>
      <c r="E4" s="12" t="n">
        <v>400761541.7808219</v>
      </c>
      <c r="F4" s="12" t="n">
        <v>521976007.5342466</v>
      </c>
    </row>
    <row r="5" ht="25" customHeight="1">
      <c r="A5" s="5" t="inlineStr">
        <is>
          <t>Current Ratio</t>
        </is>
      </c>
      <c r="B5" s="13" t="n">
        <v>1.770035448788546</v>
      </c>
      <c r="C5" s="13" t="n">
        <v>2.000386293104029</v>
      </c>
      <c r="D5" s="13" t="n">
        <v>2.219249195226704</v>
      </c>
      <c r="E5" s="13" t="n">
        <v>2.454581894856965</v>
      </c>
      <c r="F5" s="13" t="n">
        <v>2.695531475611809</v>
      </c>
    </row>
    <row r="6" ht="25" customHeight="1">
      <c r="A6" s="4" t="inlineStr">
        <is>
          <t>Inventory Days</t>
        </is>
      </c>
      <c r="B6" s="12" t="n">
        <v>64</v>
      </c>
      <c r="C6" s="12" t="n">
        <v>60.81010452961672</v>
      </c>
      <c r="D6" s="12" t="n">
        <v>61.69211755012359</v>
      </c>
      <c r="E6" s="12" t="n">
        <v>63.06986027944112</v>
      </c>
      <c r="F6" s="12" t="n">
        <v>64.96439169139464</v>
      </c>
    </row>
    <row r="7" ht="25" customHeight="1">
      <c r="A7" s="5" t="inlineStr">
        <is>
          <t>Receivable Days</t>
        </is>
      </c>
      <c r="B7" s="13" t="n">
        <v>38.00000000000001</v>
      </c>
      <c r="C7" s="13" t="n">
        <v>38.46428571428572</v>
      </c>
      <c r="D7" s="13" t="n">
        <v>43.65454545454546</v>
      </c>
      <c r="E7" s="13" t="n">
        <v>49.77777777777778</v>
      </c>
      <c r="F7" s="13" t="n">
        <v>56.89820359281436</v>
      </c>
    </row>
    <row r="8" ht="25" customHeight="1">
      <c r="A8" s="4" t="inlineStr">
        <is>
          <t>Payable Days</t>
        </is>
      </c>
      <c r="B8" s="12" t="n">
        <v>46</v>
      </c>
      <c r="C8" s="12" t="n">
        <v>43.34788763066202</v>
      </c>
      <c r="D8" s="12" t="n">
        <v>43.30519088162593</v>
      </c>
      <c r="E8" s="12" t="n">
        <v>43.2608117099135</v>
      </c>
      <c r="F8" s="12" t="n">
        <v>43.27002967359049</v>
      </c>
    </row>
    <row r="9" ht="25" customHeight="1">
      <c r="A9" s="5" t="inlineStr">
        <is>
          <t>Cash Conversion Cycle</t>
        </is>
      </c>
      <c r="B9" s="13" t="n">
        <v>56</v>
      </c>
      <c r="C9" s="13" t="n">
        <v>55.92650261324042</v>
      </c>
      <c r="D9" s="13" t="n">
        <v>62.04147212304312</v>
      </c>
      <c r="E9" s="13" t="n">
        <v>69.58682634730539</v>
      </c>
      <c r="F9" s="13" t="n">
        <v>78.59256561061849</v>
      </c>
    </row>
  </sheetData>
  <autoFilter ref="A3:F9"/>
  <mergeCells count="2">
    <mergeCell ref="A2:F2"/>
    <mergeCell ref="A1:F1"/>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G9"/>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65" customWidth="1" min="6" max="6"/>
    <col width="65" customWidth="1" min="7" max="7"/>
  </cols>
  <sheetData>
    <row r="1" ht="36" customHeight="1">
      <c r="A1" s="1" t="inlineStr">
        <is>
          <t>Risk Flags</t>
        </is>
      </c>
    </row>
    <row r="2" ht="36" customHeight="1">
      <c r="A2" s="2" t="inlineStr">
        <is>
          <t>Generic rules are investigation prompts, not advice.</t>
        </is>
      </c>
    </row>
    <row r="3" ht="32" customHeight="1">
      <c r="A3" s="3" t="inlineStr">
        <is>
          <t>title</t>
        </is>
      </c>
      <c r="B3" s="3" t="inlineStr">
        <is>
          <t>metric</t>
        </is>
      </c>
      <c r="C3" s="3" t="inlineStr">
        <is>
          <t>value</t>
        </is>
      </c>
      <c r="D3" s="3" t="inlineStr">
        <is>
          <t>trend</t>
        </is>
      </c>
      <c r="E3" s="3" t="inlineStr">
        <is>
          <t>severity</t>
        </is>
      </c>
      <c r="F3" s="3" t="inlineStr">
        <is>
          <t>explanation</t>
        </is>
      </c>
      <c r="G3" s="3" t="inlineStr">
        <is>
          <t>questions</t>
        </is>
      </c>
    </row>
    <row r="4" ht="35" customHeight="1">
      <c r="A4" s="4" t="inlineStr">
        <is>
          <t>Margin compression across three years</t>
        </is>
      </c>
      <c r="B4" s="4" t="inlineStr">
        <is>
          <t>Net Profit Margin</t>
        </is>
      </c>
      <c r="C4" s="12" t="n">
        <v>0.07882634730538914</v>
      </c>
      <c r="D4" s="4" t="inlineStr">
        <is>
          <t>2023: 0.09; 2024: 0.08; 2025: 0.08</t>
        </is>
      </c>
      <c r="E4" s="4" t="inlineStr">
        <is>
          <t>WATCH</t>
        </is>
      </c>
      <c r="F4" s="4" t="inlineStr">
        <is>
          <t>Net margin declined across the latest three annual observations, suggesting persistent earnings pressure.</t>
        </is>
      </c>
      <c r="G4" s="4" t="inlineStr">
        <is>
          <t>Are input costs, overhead or financing costs rising?</t>
        </is>
      </c>
    </row>
    <row r="5" ht="50" customHeight="1">
      <c r="A5" s="5" t="inlineStr">
        <is>
          <t>Receivable collection slowing</t>
        </is>
      </c>
      <c r="B5" s="5" t="inlineStr">
        <is>
          <t>Receivable Days</t>
        </is>
      </c>
      <c r="C5" s="13" t="n">
        <v>56.89820359281436</v>
      </c>
      <c r="D5" s="5" t="inlineStr">
        <is>
          <t>2023: 43.65; 2024: 49.78; 2025: 56.90</t>
        </is>
      </c>
      <c r="E5" s="5" t="inlineStr">
        <is>
          <t>WARNING</t>
        </is>
      </c>
      <c r="F5" s="5" t="inlineStr">
        <is>
          <t>Receivable Days increased by more than five days in the latest year. This may increase operating funding needs.</t>
        </is>
      </c>
      <c r="G5" s="5" t="inlineStr">
        <is>
          <t>Did terms or customer quality change? Is inventory moving more slowly?</t>
        </is>
      </c>
    </row>
    <row r="6" ht="50" customHeight="1">
      <c r="A6" s="4" t="inlineStr">
        <is>
          <t>Cash tied up for longer</t>
        </is>
      </c>
      <c r="B6" s="4" t="inlineStr">
        <is>
          <t>Cash Conversion Cycle</t>
        </is>
      </c>
      <c r="C6" s="12" t="n">
        <v>78.59256561061849</v>
      </c>
      <c r="D6" s="4" t="inlineStr">
        <is>
          <t>2023: 62.04; 2024: 69.59; 2025: 78.59</t>
        </is>
      </c>
      <c r="E6" s="4" t="inlineStr">
        <is>
          <t>WARNING</t>
        </is>
      </c>
      <c r="F6" s="4" t="inlineStr">
        <is>
          <t>Cash Conversion Cycle increased by more than five days in the latest year. This may increase operating funding needs.</t>
        </is>
      </c>
      <c r="G6" s="4" t="inlineStr">
        <is>
          <t>Did terms or customer quality change? Is inventory moving more slowly?</t>
        </is>
      </c>
    </row>
    <row r="7" ht="35" customHeight="1">
      <c r="A7" s="5" t="inlineStr">
        <is>
          <t>Cash cycle worsening over three years</t>
        </is>
      </c>
      <c r="B7" s="5" t="inlineStr">
        <is>
          <t>Cash Conversion Cycle</t>
        </is>
      </c>
      <c r="C7" s="13" t="n">
        <v>78.59256561061849</v>
      </c>
      <c r="D7" s="5" t="inlineStr">
        <is>
          <t>2023: 62.04; 2024: 69.59; 2025: 78.59</t>
        </is>
      </c>
      <c r="E7" s="5" t="inlineStr">
        <is>
          <t>WATCH</t>
        </is>
      </c>
      <c r="F7" s="5" t="inlineStr">
        <is>
          <t>The cash conversion cycle lengthened in both latest annual movements.</t>
        </is>
      </c>
      <c r="G7" s="5" t="inlineStr">
        <is>
          <t>What collection and stock targets could release cash?</t>
        </is>
      </c>
    </row>
    <row r="8" ht="65" customHeight="1">
      <c r="A8" s="4" t="inlineStr">
        <is>
          <t>Operating cash flow improved</t>
        </is>
      </c>
      <c r="B8" s="4" t="inlineStr">
        <is>
          <t>Operating Cash Flow</t>
        </is>
      </c>
      <c r="C8" s="12" t="n">
        <v>180000000</v>
      </c>
      <c r="D8" s="4" t="inlineStr">
        <is>
          <t>2023: 149,000,000.00; 2024: 162,000,000.00; 2025: 180,000,000.00</t>
        </is>
      </c>
      <c r="E8" s="4" t="inlineStr">
        <is>
          <t>POSITIVE</t>
        </is>
      </c>
      <c r="F8" s="4" t="inlineStr">
        <is>
          <t>Operating Cash Flow moved in a potentially favorable direction versus the previous year.</t>
        </is>
      </c>
      <c r="G8" s="4" t="inlineStr">
        <is>
          <t>Is this improvement recurring and sustainable?</t>
        </is>
      </c>
    </row>
    <row r="9" ht="65" customHeight="1">
      <c r="A9" s="5" t="inlineStr">
        <is>
          <t>Consistent revenue growth</t>
        </is>
      </c>
      <c r="B9" s="5" t="inlineStr">
        <is>
          <t>Revenue</t>
        </is>
      </c>
      <c r="C9" s="13" t="n">
        <v>1670000000</v>
      </c>
      <c r="D9" s="5" t="inlineStr">
        <is>
          <t>2023: 1,320,000,000.00; 2024: 1,485,000,000.00; 2025: 1,670,000,000.00</t>
        </is>
      </c>
      <c r="E9" s="5" t="inlineStr">
        <is>
          <t>POSITIVE</t>
        </is>
      </c>
      <c r="F9" s="5" t="inlineStr">
        <is>
          <t>Revenue grew in both latest annual intervals.</t>
        </is>
      </c>
      <c r="G9" s="5" t="inlineStr">
        <is>
          <t>Is growth supported by volume, pricing or acquisitions?</t>
        </is>
      </c>
    </row>
  </sheetData>
  <autoFilter ref="A3:G9"/>
  <mergeCells count="2">
    <mergeCell ref="A2:G2"/>
    <mergeCell ref="A1:G1"/>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F9"/>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22" customWidth="1" min="3" max="3"/>
    <col width="22" customWidth="1" min="4" max="4"/>
    <col width="22" customWidth="1" min="5" max="5"/>
    <col width="22" customWidth="1" min="6" max="6"/>
  </cols>
  <sheetData>
    <row r="1" ht="36" customHeight="1">
      <c r="A1" s="1" t="inlineStr">
        <is>
          <t>Health Score</t>
        </is>
      </c>
    </row>
    <row r="2" ht="36" customHeight="1">
      <c r="A2" s="2" t="inlineStr">
        <is>
          <t>Falcon Finalysis Financial Health Score: 80.0; Healthy. Not an industry-standard credit score.</t>
        </is>
      </c>
    </row>
    <row r="3" ht="32" customHeight="1">
      <c r="A3" s="3" t="inlineStr">
        <is>
          <t>Category</t>
        </is>
      </c>
      <c r="B3" s="3" t="inlineStr">
        <is>
          <t>Weight</t>
        </is>
      </c>
      <c r="C3" s="3" t="inlineStr">
        <is>
          <t>Score / 100</t>
        </is>
      </c>
      <c r="D3" s="3" t="inlineStr">
        <is>
          <t>Points earned</t>
        </is>
      </c>
      <c r="E3" s="3" t="inlineStr">
        <is>
          <t>Available points</t>
        </is>
      </c>
      <c r="F3" s="3" t="inlineStr">
        <is>
          <t>Coverage</t>
        </is>
      </c>
    </row>
    <row r="4" ht="25" customHeight="1">
      <c r="A4" s="4" t="inlineStr">
        <is>
          <t>Liquidity</t>
        </is>
      </c>
      <c r="B4" s="12" t="n">
        <v>20</v>
      </c>
      <c r="C4" s="12" t="n">
        <v>100</v>
      </c>
      <c r="D4" s="12" t="n">
        <v>20</v>
      </c>
      <c r="E4" s="12" t="n">
        <v>20</v>
      </c>
      <c r="F4" s="16" t="n">
        <v>1</v>
      </c>
    </row>
    <row r="5" ht="25" customHeight="1">
      <c r="A5" s="5" t="inlineStr">
        <is>
          <t>Profitability</t>
        </is>
      </c>
      <c r="B5" s="13" t="n">
        <v>20</v>
      </c>
      <c r="C5" s="13" t="n">
        <v>73.22735124328959</v>
      </c>
      <c r="D5" s="13" t="n">
        <v>14.64547024865792</v>
      </c>
      <c r="E5" s="13" t="n">
        <v>20</v>
      </c>
      <c r="F5" s="17" t="n">
        <v>1</v>
      </c>
    </row>
    <row r="6" ht="25" customHeight="1">
      <c r="A6" s="4" t="inlineStr">
        <is>
          <t>Leverage/Solvency</t>
        </is>
      </c>
      <c r="B6" s="12" t="n">
        <v>20</v>
      </c>
      <c r="C6" s="12" t="n">
        <v>78.68841062782177</v>
      </c>
      <c r="D6" s="12" t="n">
        <v>15.73768212556435</v>
      </c>
      <c r="E6" s="12" t="n">
        <v>20</v>
      </c>
      <c r="F6" s="16" t="n">
        <v>1</v>
      </c>
    </row>
    <row r="7" ht="25" customHeight="1">
      <c r="A7" s="5" t="inlineStr">
        <is>
          <t>Efficiency</t>
        </is>
      </c>
      <c r="B7" s="13" t="n">
        <v>15</v>
      </c>
      <c r="C7" s="13" t="n">
        <v>61.92841400169024</v>
      </c>
      <c r="D7" s="13" t="n">
        <v>9.289262100253538</v>
      </c>
      <c r="E7" s="13" t="n">
        <v>15</v>
      </c>
      <c r="F7" s="17" t="n">
        <v>1</v>
      </c>
    </row>
    <row r="8" ht="25" customHeight="1">
      <c r="A8" s="4" t="inlineStr">
        <is>
          <t>Cash Flow</t>
        </is>
      </c>
      <c r="B8" s="12" t="n">
        <v>15</v>
      </c>
      <c r="C8" s="12" t="n">
        <v>72.52495919737558</v>
      </c>
      <c r="D8" s="12" t="n">
        <v>10.87874387960634</v>
      </c>
      <c r="E8" s="12" t="n">
        <v>15</v>
      </c>
      <c r="F8" s="16" t="n">
        <v>1</v>
      </c>
    </row>
    <row r="9" ht="25" customHeight="1">
      <c r="A9" s="5" t="inlineStr">
        <is>
          <t>Growth/Stability</t>
        </is>
      </c>
      <c r="B9" s="13" t="n">
        <v>10</v>
      </c>
      <c r="C9" s="13" t="n">
        <v>94.88075196408529</v>
      </c>
      <c r="D9" s="13" t="n">
        <v>9.488075196408531</v>
      </c>
      <c r="E9" s="13" t="n">
        <v>10</v>
      </c>
      <c r="F9" s="17" t="n">
        <v>1</v>
      </c>
    </row>
  </sheetData>
  <autoFilter ref="A3:F9"/>
  <mergeCells count="2">
    <mergeCell ref="A2:F2"/>
    <mergeCell ref="A1:F1"/>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C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s>
  <sheetData>
    <row r="1" ht="36" customHeight="1">
      <c r="A1" s="1" t="inlineStr">
        <is>
          <t>Scenario Analysis</t>
        </is>
      </c>
    </row>
    <row r="2" ht="38" customHeight="1">
      <c r="A2" s="2" t="inlineStr">
        <is>
          <t>One-year operating model; ROA/ROE use frozen denominators; cash flows are proxies.</t>
        </is>
      </c>
    </row>
    <row r="3" ht="32" customHeight="1">
      <c r="A3" s="3" t="inlineStr">
        <is>
          <t>Metric</t>
        </is>
      </c>
      <c r="B3" s="3" t="inlineStr">
        <is>
          <t>Base case</t>
        </is>
      </c>
      <c r="C3" s="3" t="inlineStr">
        <is>
          <t>Scenario</t>
        </is>
      </c>
    </row>
    <row r="4" ht="25" customHeight="1">
      <c r="A4" s="4" t="inlineStr">
        <is>
          <t>Revenue</t>
        </is>
      </c>
      <c r="B4" s="12" t="n">
        <v>1670000000</v>
      </c>
      <c r="C4" s="12" t="n">
        <v>1670000000</v>
      </c>
    </row>
    <row r="5" ht="25" customHeight="1">
      <c r="A5" s="5" t="inlineStr">
        <is>
          <t>Gross Profit</t>
        </is>
      </c>
      <c r="B5" s="13" t="n">
        <v>544419999.9999998</v>
      </c>
      <c r="C5" s="13" t="n">
        <v>544419999.9999998</v>
      </c>
    </row>
    <row r="6" ht="25" customHeight="1">
      <c r="A6" s="4" t="inlineStr">
        <is>
          <t>EBITDA</t>
        </is>
      </c>
      <c r="B6" s="12" t="n">
        <v>260519999.9999997</v>
      </c>
      <c r="C6" s="12" t="n">
        <v>260519999.9999997</v>
      </c>
    </row>
    <row r="7" ht="25" customHeight="1">
      <c r="A7" s="5" t="inlineStr">
        <is>
          <t>EBIT</t>
        </is>
      </c>
      <c r="B7" s="13" t="n">
        <v>218519999.9999997</v>
      </c>
      <c r="C7" s="13" t="n">
        <v>218519999.9999997</v>
      </c>
    </row>
    <row r="8" ht="25" customHeight="1">
      <c r="A8" s="4" t="inlineStr">
        <is>
          <t>Interest</t>
        </is>
      </c>
      <c r="B8" s="12" t="n">
        <v>43000000</v>
      </c>
      <c r="C8" s="12" t="n">
        <v>43000000</v>
      </c>
    </row>
    <row r="9" ht="25" customHeight="1">
      <c r="A9" s="5" t="inlineStr">
        <is>
          <t>Tax</t>
        </is>
      </c>
      <c r="B9" s="13" t="n">
        <v>43879999.99999993</v>
      </c>
      <c r="C9" s="13" t="n">
        <v>43879999.99999993</v>
      </c>
    </row>
    <row r="10" ht="25" customHeight="1">
      <c r="A10" s="4" t="inlineStr">
        <is>
          <t>Net Income</t>
        </is>
      </c>
      <c r="B10" s="12" t="n">
        <v>131639999.9999998</v>
      </c>
      <c r="C10" s="12" t="n">
        <v>131639999.9999998</v>
      </c>
    </row>
    <row r="11" ht="25" customHeight="1">
      <c r="A11" s="5" t="inlineStr">
        <is>
          <t>Net Margin</t>
        </is>
      </c>
      <c r="B11" s="17" t="n">
        <v>0.07882634730538909</v>
      </c>
      <c r="C11" s="17" t="n">
        <v>0.07882634730538909</v>
      </c>
    </row>
    <row r="12" ht="25" customHeight="1">
      <c r="A12" s="4" t="inlineStr">
        <is>
          <t>ROA</t>
        </is>
      </c>
      <c r="B12" s="16" t="n">
        <v>0.08895479527667417</v>
      </c>
      <c r="C12" s="16" t="n">
        <v>0.08895479527667417</v>
      </c>
    </row>
    <row r="13" ht="25" customHeight="1">
      <c r="A13" s="5" t="inlineStr">
        <is>
          <t>ROE</t>
        </is>
      </c>
      <c r="B13" s="17" t="n">
        <v>0.1557871942665955</v>
      </c>
      <c r="C13" s="17" t="n">
        <v>0.1557871942665955</v>
      </c>
    </row>
    <row r="14" ht="25" customHeight="1">
      <c r="A14" s="4" t="inlineStr">
        <is>
          <t>Operating Cash Flow proxy</t>
        </is>
      </c>
      <c r="B14" s="12" t="n">
        <v>173639999.9999998</v>
      </c>
      <c r="C14" s="12" t="n">
        <v>173639999.9999998</v>
      </c>
    </row>
    <row r="15" ht="25" customHeight="1">
      <c r="A15" s="5" t="inlineStr">
        <is>
          <t>Free Cash Flow</t>
        </is>
      </c>
      <c r="B15" s="13" t="n">
        <v>43639999.99999976</v>
      </c>
      <c r="C15" s="13" t="n">
        <v>43639999.99999976</v>
      </c>
    </row>
    <row r="16" ht="25" customHeight="1">
      <c r="A16" s="4" t="inlineStr">
        <is>
          <t>Operating Working Capital</t>
        </is>
      </c>
      <c r="B16" s="12" t="n">
        <v>366832657.5342466</v>
      </c>
      <c r="C16" s="12" t="n">
        <v>366832657.5342466</v>
      </c>
    </row>
    <row r="17" ht="25" customHeight="1">
      <c r="A17" s="5" t="inlineStr">
        <is>
          <t>Cash Conversion Cycle</t>
        </is>
      </c>
      <c r="B17" s="13" t="n">
        <v>88</v>
      </c>
      <c r="C17" s="13" t="n">
        <v>88</v>
      </c>
    </row>
    <row r="18" ht="25" customHeight="1">
      <c r="A18" s="4" t="inlineStr">
        <is>
          <t>Debt-to-Equity</t>
        </is>
      </c>
      <c r="B18" s="12" t="n">
        <v>0.4852077609336392</v>
      </c>
      <c r="C18" s="12" t="n">
        <v>0.4852077609336392</v>
      </c>
    </row>
    <row r="19" ht="25" customHeight="1">
      <c r="A19" s="5" t="inlineStr">
        <is>
          <t>Interest Coverage</t>
        </is>
      </c>
      <c r="B19" s="13" t="n">
        <v>5.081860465116272</v>
      </c>
      <c r="C19" s="13" t="n">
        <v>5.081860465116272</v>
      </c>
    </row>
  </sheetData>
  <autoFilter ref="A3:C19"/>
  <mergeCells count="2">
    <mergeCell ref="A1:C1"/>
    <mergeCell ref="A2:C2"/>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C1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2" customWidth="1" min="2" max="2"/>
    <col width="22" customWidth="1" min="3" max="3"/>
  </cols>
  <sheetData>
    <row r="1" ht="36" customHeight="1">
      <c r="A1" s="1" t="inlineStr">
        <is>
          <t>Scenario Assumptions</t>
        </is>
      </c>
    </row>
    <row r="2" ht="206" customHeight="1">
      <c r="A2" s="2" t="inlineStr">
        <is>
          <t>One-year operating model. COGS and cash operating expenses are percentages of projected revenue; operating expenses exclude depreciation. Depreciation stays at the latest reported amount. Interest equals scenario ending debt × interest rate. Tax applies only to positive pretax profit; no tax-loss benefit is assumed. Receivable, inventory and payable days determine projected ending balances using revenue or COGS / 365. Operating working capital = receivables + inventory - payables. OCF proxy = net income + depreciation - change in operating working capital. FCF proxy = OCF proxy - capex. Other accruals, provisions, tax timing and financing cash flows are excluded. ROA and ROE use frozen latest total assets and equity; debt-to-equity uses frozen equity. These are scenario return proxies, not a balanced three-statement forecast. Base case uses zero revenue growth and latest cost ratios, debt and ending-balance days; historical average-balance days differ.</t>
        </is>
      </c>
    </row>
    <row r="3" ht="32" customHeight="1">
      <c r="A3" s="3" t="inlineStr">
        <is>
          <t>Metric</t>
        </is>
      </c>
      <c r="B3" s="3" t="inlineStr">
        <is>
          <t>Base case</t>
        </is>
      </c>
      <c r="C3" s="3" t="inlineStr">
        <is>
          <t>Scenario</t>
        </is>
      </c>
    </row>
    <row r="4" ht="25" customHeight="1">
      <c r="A4" s="4" t="inlineStr">
        <is>
          <t>revenue_growth</t>
        </is>
      </c>
      <c r="B4" s="12" t="n">
        <v>0</v>
      </c>
      <c r="C4" s="12" t="n">
        <v>0</v>
      </c>
    </row>
    <row r="5" ht="25" customHeight="1">
      <c r="A5" s="5" t="inlineStr">
        <is>
          <t>cogs_ratio</t>
        </is>
      </c>
      <c r="B5" s="13" t="n">
        <v>0.6740000000000002</v>
      </c>
      <c r="C5" s="13" t="n">
        <v>0.6740000000000002</v>
      </c>
    </row>
    <row r="6" ht="25" customHeight="1">
      <c r="A6" s="4" t="inlineStr">
        <is>
          <t>opex_ratio</t>
        </is>
      </c>
      <c r="B6" s="12" t="n">
        <v>0.17</v>
      </c>
      <c r="C6" s="12" t="n">
        <v>0.17</v>
      </c>
    </row>
    <row r="7" ht="25" customHeight="1">
      <c r="A7" s="5" t="inlineStr">
        <is>
          <t>interest_rate</t>
        </is>
      </c>
      <c r="B7" s="13" t="n">
        <v>0.1048780487804878</v>
      </c>
      <c r="C7" s="13" t="n">
        <v>0.1048780487804878</v>
      </c>
    </row>
    <row r="8" ht="25" customHeight="1">
      <c r="A8" s="4" t="inlineStr">
        <is>
          <t>tax_rate</t>
        </is>
      </c>
      <c r="B8" s="12" t="n">
        <v>0.25</v>
      </c>
      <c r="C8" s="12" t="n">
        <v>0.25</v>
      </c>
    </row>
    <row r="9" ht="25" customHeight="1">
      <c r="A9" s="5" t="inlineStr">
        <is>
          <t>receivable_days</t>
        </is>
      </c>
      <c r="B9" s="13" t="n">
        <v>63.99999999999999</v>
      </c>
      <c r="C9" s="13" t="n">
        <v>63.99999999999999</v>
      </c>
    </row>
    <row r="10" ht="25" customHeight="1">
      <c r="A10" s="4" t="inlineStr">
        <is>
          <t>inventory_days</t>
        </is>
      </c>
      <c r="B10" s="12" t="n">
        <v>70</v>
      </c>
      <c r="C10" s="12" t="n">
        <v>70</v>
      </c>
    </row>
    <row r="11" ht="25" customHeight="1">
      <c r="A11" s="5" t="inlineStr">
        <is>
          <t>payable_days</t>
        </is>
      </c>
      <c r="B11" s="13" t="n">
        <v>45.99999999999999</v>
      </c>
      <c r="C11" s="13" t="n">
        <v>45.99999999999999</v>
      </c>
    </row>
    <row r="12" ht="25" customHeight="1">
      <c r="A12" s="4" t="inlineStr">
        <is>
          <t>capex</t>
        </is>
      </c>
      <c r="B12" s="12" t="n">
        <v>130000000</v>
      </c>
      <c r="C12" s="12" t="n">
        <v>130000000</v>
      </c>
    </row>
    <row r="13" ht="25" customHeight="1">
      <c r="A13" s="5" t="inlineStr">
        <is>
          <t>debt</t>
        </is>
      </c>
      <c r="B13" s="13" t="n">
        <v>410000000</v>
      </c>
      <c r="C13" s="13" t="n">
        <v>410000000</v>
      </c>
    </row>
  </sheetData>
  <autoFilter ref="A3:C13"/>
  <mergeCells count="2">
    <mergeCell ref="A1:C1"/>
    <mergeCell ref="A2:C2"/>
  </mergeCell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C3"/>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22" customWidth="1" min="3" max="3"/>
  </cols>
  <sheetData>
    <row r="1" ht="36" customHeight="1">
      <c r="A1" s="1" t="inlineStr">
        <is>
          <t>Data Quality</t>
        </is>
      </c>
    </row>
    <row r="2" ht="36" customHeight="1">
      <c r="A2" s="2" t="inlineStr">
        <is>
          <t>Warnings do not modify reported figures.</t>
        </is>
      </c>
    </row>
    <row r="3" ht="32" customHeight="1">
      <c r="A3" s="3" t="inlineStr">
        <is>
          <t>severity</t>
        </is>
      </c>
      <c r="B3" s="3" t="inlineStr">
        <is>
          <t>year</t>
        </is>
      </c>
      <c r="C3" s="3" t="inlineStr">
        <is>
          <t>message</t>
        </is>
      </c>
    </row>
  </sheetData>
  <autoFilter ref="A3:C3"/>
  <mergeCells count="2">
    <mergeCell ref="A1:C1"/>
    <mergeCell ref="A2:C2"/>
  </mergeCell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E203"/>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22" customWidth="1" min="3" max="3"/>
    <col width="22" customWidth="1" min="4" max="4"/>
    <col width="22" customWidth="1" min="5" max="5"/>
  </cols>
  <sheetData>
    <row r="1" ht="36" customHeight="1">
      <c r="A1" s="1" t="inlineStr">
        <is>
          <t>Data Sources</t>
        </is>
      </c>
    </row>
    <row r="2" ht="36" customHeight="1">
      <c r="A2" s="2" t="inlineStr">
        <is>
          <t>Cell-level source records captured during import or manual editing.</t>
        </is>
      </c>
    </row>
    <row r="3" ht="32" customHeight="1">
      <c r="A3" s="3" t="inlineStr">
        <is>
          <t>Year</t>
        </is>
      </c>
      <c r="B3" s="3" t="inlineStr">
        <is>
          <t>Field</t>
        </is>
      </c>
      <c r="C3" s="3" t="inlineStr">
        <is>
          <t>Source Type</t>
        </is>
      </c>
      <c r="D3" s="3" t="inlineStr">
        <is>
          <t>Source Reference</t>
        </is>
      </c>
      <c r="E3" s="3" t="inlineStr">
        <is>
          <t>Recorded At</t>
        </is>
      </c>
    </row>
    <row r="4" ht="35" customHeight="1">
      <c r="A4" s="12" t="n">
        <v>2021</v>
      </c>
      <c r="B4" s="4" t="inlineStr">
        <is>
          <t>Revenue</t>
        </is>
      </c>
      <c r="C4" s="4" t="inlineStr">
        <is>
          <t>Fictional demo</t>
        </is>
      </c>
      <c r="D4" s="4" t="inlineStr">
        <is>
          <t>Bundled Apex demonstration dataset</t>
        </is>
      </c>
      <c r="E4" s="4" t="inlineStr">
        <is>
          <t>2026-09-28T18:50:27+00:00</t>
        </is>
      </c>
    </row>
    <row r="5" ht="35" customHeight="1">
      <c r="A5" s="13" t="n">
        <v>2021</v>
      </c>
      <c r="B5" s="5" t="inlineStr">
        <is>
          <t>COGS</t>
        </is>
      </c>
      <c r="C5" s="5" t="inlineStr">
        <is>
          <t>Fictional demo</t>
        </is>
      </c>
      <c r="D5" s="5" t="inlineStr">
        <is>
          <t>Bundled Apex demonstration dataset</t>
        </is>
      </c>
      <c r="E5" s="5" t="inlineStr">
        <is>
          <t>2026-09-28T18:50:27+00:00</t>
        </is>
      </c>
    </row>
    <row r="6" ht="35" customHeight="1">
      <c r="A6" s="12" t="n">
        <v>2021</v>
      </c>
      <c r="B6" s="4" t="inlineStr">
        <is>
          <t>Gross Profit</t>
        </is>
      </c>
      <c r="C6" s="4" t="inlineStr">
        <is>
          <t>Fictional demo</t>
        </is>
      </c>
      <c r="D6" s="4" t="inlineStr">
        <is>
          <t>Bundled Apex demonstration dataset</t>
        </is>
      </c>
      <c r="E6" s="4" t="inlineStr">
        <is>
          <t>2026-09-28T18:50:27+00:00</t>
        </is>
      </c>
    </row>
    <row r="7" ht="35" customHeight="1">
      <c r="A7" s="13" t="n">
        <v>2021</v>
      </c>
      <c r="B7" s="5" t="inlineStr">
        <is>
          <t>Operating Expenses</t>
        </is>
      </c>
      <c r="C7" s="5" t="inlineStr">
        <is>
          <t>Fictional demo</t>
        </is>
      </c>
      <c r="D7" s="5" t="inlineStr">
        <is>
          <t>Bundled Apex demonstration dataset</t>
        </is>
      </c>
      <c r="E7" s="5" t="inlineStr">
        <is>
          <t>2026-09-28T18:50:27+00:00</t>
        </is>
      </c>
    </row>
    <row r="8" ht="35" customHeight="1">
      <c r="A8" s="12" t="n">
        <v>2021</v>
      </c>
      <c r="B8" s="4" t="inlineStr">
        <is>
          <t>EBITDA</t>
        </is>
      </c>
      <c r="C8" s="4" t="inlineStr">
        <is>
          <t>Fictional demo</t>
        </is>
      </c>
      <c r="D8" s="4" t="inlineStr">
        <is>
          <t>Bundled Apex demonstration dataset</t>
        </is>
      </c>
      <c r="E8" s="4" t="inlineStr">
        <is>
          <t>2026-09-28T18:50:27+00:00</t>
        </is>
      </c>
    </row>
    <row r="9" ht="35" customHeight="1">
      <c r="A9" s="13" t="n">
        <v>2021</v>
      </c>
      <c r="B9" s="5" t="inlineStr">
        <is>
          <t>Depreciation</t>
        </is>
      </c>
      <c r="C9" s="5" t="inlineStr">
        <is>
          <t>Fictional demo</t>
        </is>
      </c>
      <c r="D9" s="5" t="inlineStr">
        <is>
          <t>Bundled Apex demonstration dataset</t>
        </is>
      </c>
      <c r="E9" s="5" t="inlineStr">
        <is>
          <t>2026-09-28T18:50:27+00:00</t>
        </is>
      </c>
    </row>
    <row r="10" ht="35" customHeight="1">
      <c r="A10" s="12" t="n">
        <v>2021</v>
      </c>
      <c r="B10" s="4" t="inlineStr">
        <is>
          <t>EBIT</t>
        </is>
      </c>
      <c r="C10" s="4" t="inlineStr">
        <is>
          <t>Fictional demo</t>
        </is>
      </c>
      <c r="D10" s="4" t="inlineStr">
        <is>
          <t>Bundled Apex demonstration dataset</t>
        </is>
      </c>
      <c r="E10" s="4" t="inlineStr">
        <is>
          <t>2026-09-28T18:50:27+00:00</t>
        </is>
      </c>
    </row>
    <row r="11" ht="35" customHeight="1">
      <c r="A11" s="13" t="n">
        <v>2021</v>
      </c>
      <c r="B11" s="5" t="inlineStr">
        <is>
          <t>Interest Expense</t>
        </is>
      </c>
      <c r="C11" s="5" t="inlineStr">
        <is>
          <t>Fictional demo</t>
        </is>
      </c>
      <c r="D11" s="5" t="inlineStr">
        <is>
          <t>Bundled Apex demonstration dataset</t>
        </is>
      </c>
      <c r="E11" s="5" t="inlineStr">
        <is>
          <t>2026-09-28T18:50:27+00:00</t>
        </is>
      </c>
    </row>
    <row r="12" ht="35" customHeight="1">
      <c r="A12" s="12" t="n">
        <v>2021</v>
      </c>
      <c r="B12" s="4" t="inlineStr">
        <is>
          <t>EBT</t>
        </is>
      </c>
      <c r="C12" s="4" t="inlineStr">
        <is>
          <t>Fictional demo</t>
        </is>
      </c>
      <c r="D12" s="4" t="inlineStr">
        <is>
          <t>Bundled Apex demonstration dataset</t>
        </is>
      </c>
      <c r="E12" s="4" t="inlineStr">
        <is>
          <t>2026-09-28T18:50:27+00:00</t>
        </is>
      </c>
    </row>
    <row r="13" ht="35" customHeight="1">
      <c r="A13" s="13" t="n">
        <v>2021</v>
      </c>
      <c r="B13" s="5" t="inlineStr">
        <is>
          <t>Tax Expense</t>
        </is>
      </c>
      <c r="C13" s="5" t="inlineStr">
        <is>
          <t>Fictional demo</t>
        </is>
      </c>
      <c r="D13" s="5" t="inlineStr">
        <is>
          <t>Bundled Apex demonstration dataset</t>
        </is>
      </c>
      <c r="E13" s="5" t="inlineStr">
        <is>
          <t>2026-09-28T18:50:27+00:00</t>
        </is>
      </c>
    </row>
    <row r="14" ht="35" customHeight="1">
      <c r="A14" s="12" t="n">
        <v>2021</v>
      </c>
      <c r="B14" s="4" t="inlineStr">
        <is>
          <t>Net Income</t>
        </is>
      </c>
      <c r="C14" s="4" t="inlineStr">
        <is>
          <t>Fictional demo</t>
        </is>
      </c>
      <c r="D14" s="4" t="inlineStr">
        <is>
          <t>Bundled Apex demonstration dataset</t>
        </is>
      </c>
      <c r="E14" s="4" t="inlineStr">
        <is>
          <t>2026-09-28T18:50:27+00:00</t>
        </is>
      </c>
    </row>
    <row r="15" ht="35" customHeight="1">
      <c r="A15" s="13" t="n">
        <v>2021</v>
      </c>
      <c r="B15" s="5" t="inlineStr">
        <is>
          <t>Cash</t>
        </is>
      </c>
      <c r="C15" s="5" t="inlineStr">
        <is>
          <t>Fictional demo</t>
        </is>
      </c>
      <c r="D15" s="5" t="inlineStr">
        <is>
          <t>Bundled Apex demonstration dataset</t>
        </is>
      </c>
      <c r="E15" s="5" t="inlineStr">
        <is>
          <t>2026-09-28T18:50:27+00:00</t>
        </is>
      </c>
    </row>
    <row r="16" ht="35" customHeight="1">
      <c r="A16" s="12" t="n">
        <v>2021</v>
      </c>
      <c r="B16" s="4" t="inlineStr">
        <is>
          <t>Accounts Receivable</t>
        </is>
      </c>
      <c r="C16" s="4" t="inlineStr">
        <is>
          <t>Fictional demo</t>
        </is>
      </c>
      <c r="D16" s="4" t="inlineStr">
        <is>
          <t>Bundled Apex demonstration dataset</t>
        </is>
      </c>
      <c r="E16" s="4" t="inlineStr">
        <is>
          <t>2026-09-28T18:50:27+00:00</t>
        </is>
      </c>
    </row>
    <row r="17" ht="35" customHeight="1">
      <c r="A17" s="13" t="n">
        <v>2021</v>
      </c>
      <c r="B17" s="5" t="inlineStr">
        <is>
          <t>Inventory</t>
        </is>
      </c>
      <c r="C17" s="5" t="inlineStr">
        <is>
          <t>Fictional demo</t>
        </is>
      </c>
      <c r="D17" s="5" t="inlineStr">
        <is>
          <t>Bundled Apex demonstration dataset</t>
        </is>
      </c>
      <c r="E17" s="5" t="inlineStr">
        <is>
          <t>2026-09-28T18:50:27+00:00</t>
        </is>
      </c>
    </row>
    <row r="18" ht="35" customHeight="1">
      <c r="A18" s="12" t="n">
        <v>2021</v>
      </c>
      <c r="B18" s="4" t="inlineStr">
        <is>
          <t>Other Current Assets</t>
        </is>
      </c>
      <c r="C18" s="4" t="inlineStr">
        <is>
          <t>Fictional demo</t>
        </is>
      </c>
      <c r="D18" s="4" t="inlineStr">
        <is>
          <t>Bundled Apex demonstration dataset</t>
        </is>
      </c>
      <c r="E18" s="4" t="inlineStr">
        <is>
          <t>2026-09-28T18:50:27+00:00</t>
        </is>
      </c>
    </row>
    <row r="19" ht="35" customHeight="1">
      <c r="A19" s="13" t="n">
        <v>2021</v>
      </c>
      <c r="B19" s="5" t="inlineStr">
        <is>
          <t>Total Current Assets</t>
        </is>
      </c>
      <c r="C19" s="5" t="inlineStr">
        <is>
          <t>Fictional demo</t>
        </is>
      </c>
      <c r="D19" s="5" t="inlineStr">
        <is>
          <t>Bundled Apex demonstration dataset</t>
        </is>
      </c>
      <c r="E19" s="5" t="inlineStr">
        <is>
          <t>2026-09-28T18:50:27+00:00</t>
        </is>
      </c>
    </row>
    <row r="20" ht="35" customHeight="1">
      <c r="A20" s="12" t="n">
        <v>2021</v>
      </c>
      <c r="B20" s="4" t="inlineStr">
        <is>
          <t>Property Plant Equipment</t>
        </is>
      </c>
      <c r="C20" s="4" t="inlineStr">
        <is>
          <t>Fictional demo</t>
        </is>
      </c>
      <c r="D20" s="4" t="inlineStr">
        <is>
          <t>Bundled Apex demonstration dataset</t>
        </is>
      </c>
      <c r="E20" s="4" t="inlineStr">
        <is>
          <t>2026-09-28T18:50:27+00:00</t>
        </is>
      </c>
    </row>
    <row r="21" ht="35" customHeight="1">
      <c r="A21" s="13" t="n">
        <v>2021</v>
      </c>
      <c r="B21" s="5" t="inlineStr">
        <is>
          <t>Other Non-Current Assets</t>
        </is>
      </c>
      <c r="C21" s="5" t="inlineStr">
        <is>
          <t>Fictional demo</t>
        </is>
      </c>
      <c r="D21" s="5" t="inlineStr">
        <is>
          <t>Bundled Apex demonstration dataset</t>
        </is>
      </c>
      <c r="E21" s="5" t="inlineStr">
        <is>
          <t>2026-09-28T18:50:27+00:00</t>
        </is>
      </c>
    </row>
    <row r="22" ht="35" customHeight="1">
      <c r="A22" s="12" t="n">
        <v>2021</v>
      </c>
      <c r="B22" s="4" t="inlineStr">
        <is>
          <t>Total Assets</t>
        </is>
      </c>
      <c r="C22" s="4" t="inlineStr">
        <is>
          <t>Fictional demo</t>
        </is>
      </c>
      <c r="D22" s="4" t="inlineStr">
        <is>
          <t>Bundled Apex demonstration dataset</t>
        </is>
      </c>
      <c r="E22" s="4" t="inlineStr">
        <is>
          <t>2026-09-28T18:50:27+00:00</t>
        </is>
      </c>
    </row>
    <row r="23" ht="35" customHeight="1">
      <c r="A23" s="13" t="n">
        <v>2021</v>
      </c>
      <c r="B23" s="5" t="inlineStr">
        <is>
          <t>Accounts Payable</t>
        </is>
      </c>
      <c r="C23" s="5" t="inlineStr">
        <is>
          <t>Fictional demo</t>
        </is>
      </c>
      <c r="D23" s="5" t="inlineStr">
        <is>
          <t>Bundled Apex demonstration dataset</t>
        </is>
      </c>
      <c r="E23" s="5" t="inlineStr">
        <is>
          <t>2026-09-28T18:50:27+00:00</t>
        </is>
      </c>
    </row>
    <row r="24" ht="35" customHeight="1">
      <c r="A24" s="12" t="n">
        <v>2021</v>
      </c>
      <c r="B24" s="4" t="inlineStr">
        <is>
          <t>Short-Term Debt</t>
        </is>
      </c>
      <c r="C24" s="4" t="inlineStr">
        <is>
          <t>Fictional demo</t>
        </is>
      </c>
      <c r="D24" s="4" t="inlineStr">
        <is>
          <t>Bundled Apex demonstration dataset</t>
        </is>
      </c>
      <c r="E24" s="4" t="inlineStr">
        <is>
          <t>2026-09-28T18:50:27+00:00</t>
        </is>
      </c>
    </row>
    <row r="25" ht="35" customHeight="1">
      <c r="A25" s="13" t="n">
        <v>2021</v>
      </c>
      <c r="B25" s="5" t="inlineStr">
        <is>
          <t>Other Current Liabilities</t>
        </is>
      </c>
      <c r="C25" s="5" t="inlineStr">
        <is>
          <t>Fictional demo</t>
        </is>
      </c>
      <c r="D25" s="5" t="inlineStr">
        <is>
          <t>Bundled Apex demonstration dataset</t>
        </is>
      </c>
      <c r="E25" s="5" t="inlineStr">
        <is>
          <t>2026-09-28T18:50:27+00:00</t>
        </is>
      </c>
    </row>
    <row r="26" ht="35" customHeight="1">
      <c r="A26" s="12" t="n">
        <v>2021</v>
      </c>
      <c r="B26" s="4" t="inlineStr">
        <is>
          <t>Total Current Liabilities</t>
        </is>
      </c>
      <c r="C26" s="4" t="inlineStr">
        <is>
          <t>Fictional demo</t>
        </is>
      </c>
      <c r="D26" s="4" t="inlineStr">
        <is>
          <t>Bundled Apex demonstration dataset</t>
        </is>
      </c>
      <c r="E26" s="4" t="inlineStr">
        <is>
          <t>2026-09-28T18:50:27+00:00</t>
        </is>
      </c>
    </row>
    <row r="27" ht="35" customHeight="1">
      <c r="A27" s="13" t="n">
        <v>2021</v>
      </c>
      <c r="B27" s="5" t="inlineStr">
        <is>
          <t>Long-Term Debt</t>
        </is>
      </c>
      <c r="C27" s="5" t="inlineStr">
        <is>
          <t>Fictional demo</t>
        </is>
      </c>
      <c r="D27" s="5" t="inlineStr">
        <is>
          <t>Bundled Apex demonstration dataset</t>
        </is>
      </c>
      <c r="E27" s="5" t="inlineStr">
        <is>
          <t>2026-09-28T18:50:27+00:00</t>
        </is>
      </c>
    </row>
    <row r="28" ht="35" customHeight="1">
      <c r="A28" s="12" t="n">
        <v>2021</v>
      </c>
      <c r="B28" s="4" t="inlineStr">
        <is>
          <t>Other Non-Current Liabilities</t>
        </is>
      </c>
      <c r="C28" s="4" t="inlineStr">
        <is>
          <t>Fictional demo</t>
        </is>
      </c>
      <c r="D28" s="4" t="inlineStr">
        <is>
          <t>Bundled Apex demonstration dataset</t>
        </is>
      </c>
      <c r="E28" s="4" t="inlineStr">
        <is>
          <t>2026-09-28T18:50:27+00:00</t>
        </is>
      </c>
    </row>
    <row r="29" ht="35" customHeight="1">
      <c r="A29" s="13" t="n">
        <v>2021</v>
      </c>
      <c r="B29" s="5" t="inlineStr">
        <is>
          <t>Total Liabilities</t>
        </is>
      </c>
      <c r="C29" s="5" t="inlineStr">
        <is>
          <t>Fictional demo</t>
        </is>
      </c>
      <c r="D29" s="5" t="inlineStr">
        <is>
          <t>Bundled Apex demonstration dataset</t>
        </is>
      </c>
      <c r="E29" s="5" t="inlineStr">
        <is>
          <t>2026-09-28T18:50:27+00:00</t>
        </is>
      </c>
    </row>
    <row r="30" ht="35" customHeight="1">
      <c r="A30" s="12" t="n">
        <v>2021</v>
      </c>
      <c r="B30" s="4" t="inlineStr">
        <is>
          <t>Shareholders Equity</t>
        </is>
      </c>
      <c r="C30" s="4" t="inlineStr">
        <is>
          <t>Fictional demo</t>
        </is>
      </c>
      <c r="D30" s="4" t="inlineStr">
        <is>
          <t>Bundled Apex demonstration dataset</t>
        </is>
      </c>
      <c r="E30" s="4" t="inlineStr">
        <is>
          <t>2026-09-28T18:50:27+00:00</t>
        </is>
      </c>
    </row>
    <row r="31" ht="35" customHeight="1">
      <c r="A31" s="13" t="n">
        <v>2021</v>
      </c>
      <c r="B31" s="5" t="inlineStr">
        <is>
          <t>Operating Cash Flow</t>
        </is>
      </c>
      <c r="C31" s="5" t="inlineStr">
        <is>
          <t>Fictional demo</t>
        </is>
      </c>
      <c r="D31" s="5" t="inlineStr">
        <is>
          <t>Bundled Apex demonstration dataset</t>
        </is>
      </c>
      <c r="E31" s="5" t="inlineStr">
        <is>
          <t>2026-09-28T18:50:27+00:00</t>
        </is>
      </c>
    </row>
    <row r="32" ht="35" customHeight="1">
      <c r="A32" s="12" t="n">
        <v>2021</v>
      </c>
      <c r="B32" s="4" t="inlineStr">
        <is>
          <t>Capital Expenditure</t>
        </is>
      </c>
      <c r="C32" s="4" t="inlineStr">
        <is>
          <t>Fictional demo</t>
        </is>
      </c>
      <c r="D32" s="4" t="inlineStr">
        <is>
          <t>Bundled Apex demonstration dataset</t>
        </is>
      </c>
      <c r="E32" s="4" t="inlineStr">
        <is>
          <t>2026-09-28T18:50:27+00:00</t>
        </is>
      </c>
    </row>
    <row r="33" ht="35" customHeight="1">
      <c r="A33" s="13" t="n">
        <v>2021</v>
      </c>
      <c r="B33" s="5" t="inlineStr">
        <is>
          <t>Investing Cash Flow</t>
        </is>
      </c>
      <c r="C33" s="5" t="inlineStr">
        <is>
          <t>Fictional demo</t>
        </is>
      </c>
      <c r="D33" s="5" t="inlineStr">
        <is>
          <t>Bundled Apex demonstration dataset</t>
        </is>
      </c>
      <c r="E33" s="5" t="inlineStr">
        <is>
          <t>2026-09-28T18:50:27+00:00</t>
        </is>
      </c>
    </row>
    <row r="34" ht="35" customHeight="1">
      <c r="A34" s="12" t="n">
        <v>2021</v>
      </c>
      <c r="B34" s="4" t="inlineStr">
        <is>
          <t>Financing Cash Flow</t>
        </is>
      </c>
      <c r="C34" s="4" t="inlineStr">
        <is>
          <t>Fictional demo</t>
        </is>
      </c>
      <c r="D34" s="4" t="inlineStr">
        <is>
          <t>Bundled Apex demonstration dataset</t>
        </is>
      </c>
      <c r="E34" s="4" t="inlineStr">
        <is>
          <t>2026-09-28T18:50:27+00:00</t>
        </is>
      </c>
    </row>
    <row r="35" ht="35" customHeight="1">
      <c r="A35" s="13" t="n">
        <v>2021</v>
      </c>
      <c r="B35" s="5" t="inlineStr">
        <is>
          <t>Cash Dividends</t>
        </is>
      </c>
      <c r="C35" s="5" t="inlineStr">
        <is>
          <t>Fictional demo</t>
        </is>
      </c>
      <c r="D35" s="5" t="inlineStr">
        <is>
          <t>Bundled Apex demonstration dataset</t>
        </is>
      </c>
      <c r="E35" s="5" t="inlineStr">
        <is>
          <t>2026-09-28T18:50:27+00:00</t>
        </is>
      </c>
    </row>
    <row r="36" ht="35" customHeight="1">
      <c r="A36" s="12" t="n">
        <v>2021</v>
      </c>
      <c r="B36" s="4" t="inlineStr">
        <is>
          <t>Shares Outstanding</t>
        </is>
      </c>
      <c r="C36" s="4" t="inlineStr">
        <is>
          <t>Fictional demo</t>
        </is>
      </c>
      <c r="D36" s="4" t="inlineStr">
        <is>
          <t>Bundled Apex demonstration dataset</t>
        </is>
      </c>
      <c r="E36" s="4" t="inlineStr">
        <is>
          <t>2026-09-28T18:50:27+00:00</t>
        </is>
      </c>
    </row>
    <row r="37" ht="35" customHeight="1">
      <c r="A37" s="13" t="n">
        <v>2021</v>
      </c>
      <c r="B37" s="5" t="inlineStr">
        <is>
          <t>Weighted Average Shares Outstanding</t>
        </is>
      </c>
      <c r="C37" s="5" t="inlineStr">
        <is>
          <t>Fictional demo</t>
        </is>
      </c>
      <c r="D37" s="5" t="inlineStr">
        <is>
          <t>Bundled Apex demonstration dataset</t>
        </is>
      </c>
      <c r="E37" s="5" t="inlineStr">
        <is>
          <t>2026-09-28T18:50:27+00:00</t>
        </is>
      </c>
    </row>
    <row r="38" ht="35" customHeight="1">
      <c r="A38" s="12" t="n">
        <v>2021</v>
      </c>
      <c r="B38" s="4" t="inlineStr">
        <is>
          <t>Market Price Per Share</t>
        </is>
      </c>
      <c r="C38" s="4" t="inlineStr">
        <is>
          <t>Fictional demo</t>
        </is>
      </c>
      <c r="D38" s="4" t="inlineStr">
        <is>
          <t>Bundled Apex demonstration dataset</t>
        </is>
      </c>
      <c r="E38" s="4" t="inlineStr">
        <is>
          <t>2026-09-28T18:50:27+00:00</t>
        </is>
      </c>
    </row>
    <row r="39" ht="35" customHeight="1">
      <c r="A39" s="13" t="n">
        <v>2021</v>
      </c>
      <c r="B39" s="5" t="inlineStr">
        <is>
          <t>Preferred Dividends</t>
        </is>
      </c>
      <c r="C39" s="5" t="inlineStr">
        <is>
          <t>Fictional demo</t>
        </is>
      </c>
      <c r="D39" s="5" t="inlineStr">
        <is>
          <t>Bundled Apex demonstration dataset</t>
        </is>
      </c>
      <c r="E39" s="5" t="inlineStr">
        <is>
          <t>2026-09-28T18:50:27+00:00</t>
        </is>
      </c>
    </row>
    <row r="40" ht="35" customHeight="1">
      <c r="A40" s="12" t="n">
        <v>2021</v>
      </c>
      <c r="B40" s="4" t="inlineStr">
        <is>
          <t>Retained Earnings</t>
        </is>
      </c>
      <c r="C40" s="4" t="inlineStr">
        <is>
          <t>Fictional demo</t>
        </is>
      </c>
      <c r="D40" s="4" t="inlineStr">
        <is>
          <t>Bundled Apex demonstration dataset</t>
        </is>
      </c>
      <c r="E40" s="4" t="inlineStr">
        <is>
          <t>2026-09-28T18:50:27+00:00</t>
        </is>
      </c>
    </row>
    <row r="41" ht="35" customHeight="1">
      <c r="A41" s="13" t="n">
        <v>2021</v>
      </c>
      <c r="B41" s="5" t="inlineStr">
        <is>
          <t>Cash Interest Paid</t>
        </is>
      </c>
      <c r="C41" s="5" t="inlineStr">
        <is>
          <t>Fictional demo</t>
        </is>
      </c>
      <c r="D41" s="5" t="inlineStr">
        <is>
          <t>Bundled Apex demonstration dataset</t>
        </is>
      </c>
      <c r="E41" s="5" t="inlineStr">
        <is>
          <t>2026-09-28T18:50:27+00:00</t>
        </is>
      </c>
    </row>
    <row r="42" ht="35" customHeight="1">
      <c r="A42" s="12" t="n">
        <v>2021</v>
      </c>
      <c r="B42" s="4" t="inlineStr">
        <is>
          <t>Cash Taxes Paid</t>
        </is>
      </c>
      <c r="C42" s="4" t="inlineStr">
        <is>
          <t>Fictional demo</t>
        </is>
      </c>
      <c r="D42" s="4" t="inlineStr">
        <is>
          <t>Bundled Apex demonstration dataset</t>
        </is>
      </c>
      <c r="E42" s="4" t="inlineStr">
        <is>
          <t>2026-09-28T18:50:27+00:00</t>
        </is>
      </c>
    </row>
    <row r="43" ht="35" customHeight="1">
      <c r="A43" s="13" t="n">
        <v>2021</v>
      </c>
      <c r="B43" s="5" t="inlineStr">
        <is>
          <t>FX Effect on Cash</t>
        </is>
      </c>
      <c r="C43" s="5" t="inlineStr">
        <is>
          <t>Fictional demo</t>
        </is>
      </c>
      <c r="D43" s="5" t="inlineStr">
        <is>
          <t>Bundled Apex demonstration dataset</t>
        </is>
      </c>
      <c r="E43" s="5" t="inlineStr">
        <is>
          <t>2026-09-28T18:50:27+00:00</t>
        </is>
      </c>
    </row>
    <row r="44" ht="35" customHeight="1">
      <c r="A44" s="12" t="n">
        <v>2022</v>
      </c>
      <c r="B44" s="4" t="inlineStr">
        <is>
          <t>Revenue</t>
        </is>
      </c>
      <c r="C44" s="4" t="inlineStr">
        <is>
          <t>Fictional demo</t>
        </is>
      </c>
      <c r="D44" s="4" t="inlineStr">
        <is>
          <t>Bundled Apex demonstration dataset</t>
        </is>
      </c>
      <c r="E44" s="4" t="inlineStr">
        <is>
          <t>2026-09-28T18:50:27+00:00</t>
        </is>
      </c>
    </row>
    <row r="45" ht="35" customHeight="1">
      <c r="A45" s="13" t="n">
        <v>2022</v>
      </c>
      <c r="B45" s="5" t="inlineStr">
        <is>
          <t>COGS</t>
        </is>
      </c>
      <c r="C45" s="5" t="inlineStr">
        <is>
          <t>Fictional demo</t>
        </is>
      </c>
      <c r="D45" s="5" t="inlineStr">
        <is>
          <t>Bundled Apex demonstration dataset</t>
        </is>
      </c>
      <c r="E45" s="5" t="inlineStr">
        <is>
          <t>2026-09-28T18:50:27+00:00</t>
        </is>
      </c>
    </row>
    <row r="46" ht="35" customHeight="1">
      <c r="A46" s="12" t="n">
        <v>2022</v>
      </c>
      <c r="B46" s="4" t="inlineStr">
        <is>
          <t>Gross Profit</t>
        </is>
      </c>
      <c r="C46" s="4" t="inlineStr">
        <is>
          <t>Fictional demo</t>
        </is>
      </c>
      <c r="D46" s="4" t="inlineStr">
        <is>
          <t>Bundled Apex demonstration dataset</t>
        </is>
      </c>
      <c r="E46" s="4" t="inlineStr">
        <is>
          <t>2026-09-28T18:50:27+00:00</t>
        </is>
      </c>
    </row>
    <row r="47" ht="35" customHeight="1">
      <c r="A47" s="13" t="n">
        <v>2022</v>
      </c>
      <c r="B47" s="5" t="inlineStr">
        <is>
          <t>Operating Expenses</t>
        </is>
      </c>
      <c r="C47" s="5" t="inlineStr">
        <is>
          <t>Fictional demo</t>
        </is>
      </c>
      <c r="D47" s="5" t="inlineStr">
        <is>
          <t>Bundled Apex demonstration dataset</t>
        </is>
      </c>
      <c r="E47" s="5" t="inlineStr">
        <is>
          <t>2026-09-28T18:50:27+00:00</t>
        </is>
      </c>
    </row>
    <row r="48" ht="35" customHeight="1">
      <c r="A48" s="12" t="n">
        <v>2022</v>
      </c>
      <c r="B48" s="4" t="inlineStr">
        <is>
          <t>EBITDA</t>
        </is>
      </c>
      <c r="C48" s="4" t="inlineStr">
        <is>
          <t>Fictional demo</t>
        </is>
      </c>
      <c r="D48" s="4" t="inlineStr">
        <is>
          <t>Bundled Apex demonstration dataset</t>
        </is>
      </c>
      <c r="E48" s="4" t="inlineStr">
        <is>
          <t>2026-09-28T18:50:27+00:00</t>
        </is>
      </c>
    </row>
    <row r="49" ht="35" customHeight="1">
      <c r="A49" s="13" t="n">
        <v>2022</v>
      </c>
      <c r="B49" s="5" t="inlineStr">
        <is>
          <t>Depreciation</t>
        </is>
      </c>
      <c r="C49" s="5" t="inlineStr">
        <is>
          <t>Fictional demo</t>
        </is>
      </c>
      <c r="D49" s="5" t="inlineStr">
        <is>
          <t>Bundled Apex demonstration dataset</t>
        </is>
      </c>
      <c r="E49" s="5" t="inlineStr">
        <is>
          <t>2026-09-28T18:50:27+00:00</t>
        </is>
      </c>
    </row>
    <row r="50" ht="35" customHeight="1">
      <c r="A50" s="12" t="n">
        <v>2022</v>
      </c>
      <c r="B50" s="4" t="inlineStr">
        <is>
          <t>EBIT</t>
        </is>
      </c>
      <c r="C50" s="4" t="inlineStr">
        <is>
          <t>Fictional demo</t>
        </is>
      </c>
      <c r="D50" s="4" t="inlineStr">
        <is>
          <t>Bundled Apex demonstration dataset</t>
        </is>
      </c>
      <c r="E50" s="4" t="inlineStr">
        <is>
          <t>2026-09-28T18:50:27+00:00</t>
        </is>
      </c>
    </row>
    <row r="51" ht="35" customHeight="1">
      <c r="A51" s="13" t="n">
        <v>2022</v>
      </c>
      <c r="B51" s="5" t="inlineStr">
        <is>
          <t>Interest Expense</t>
        </is>
      </c>
      <c r="C51" s="5" t="inlineStr">
        <is>
          <t>Fictional demo</t>
        </is>
      </c>
      <c r="D51" s="5" t="inlineStr">
        <is>
          <t>Bundled Apex demonstration dataset</t>
        </is>
      </c>
      <c r="E51" s="5" t="inlineStr">
        <is>
          <t>2026-09-28T18:50:27+00:00</t>
        </is>
      </c>
    </row>
    <row r="52" ht="35" customHeight="1">
      <c r="A52" s="12" t="n">
        <v>2022</v>
      </c>
      <c r="B52" s="4" t="inlineStr">
        <is>
          <t>EBT</t>
        </is>
      </c>
      <c r="C52" s="4" t="inlineStr">
        <is>
          <t>Fictional demo</t>
        </is>
      </c>
      <c r="D52" s="4" t="inlineStr">
        <is>
          <t>Bundled Apex demonstration dataset</t>
        </is>
      </c>
      <c r="E52" s="4" t="inlineStr">
        <is>
          <t>2026-09-28T18:50:27+00:00</t>
        </is>
      </c>
    </row>
    <row r="53" ht="35" customHeight="1">
      <c r="A53" s="13" t="n">
        <v>2022</v>
      </c>
      <c r="B53" s="5" t="inlineStr">
        <is>
          <t>Tax Expense</t>
        </is>
      </c>
      <c r="C53" s="5" t="inlineStr">
        <is>
          <t>Fictional demo</t>
        </is>
      </c>
      <c r="D53" s="5" t="inlineStr">
        <is>
          <t>Bundled Apex demonstration dataset</t>
        </is>
      </c>
      <c r="E53" s="5" t="inlineStr">
        <is>
          <t>2026-09-28T18:50:27+00:00</t>
        </is>
      </c>
    </row>
    <row r="54" ht="35" customHeight="1">
      <c r="A54" s="12" t="n">
        <v>2022</v>
      </c>
      <c r="B54" s="4" t="inlineStr">
        <is>
          <t>Net Income</t>
        </is>
      </c>
      <c r="C54" s="4" t="inlineStr">
        <is>
          <t>Fictional demo</t>
        </is>
      </c>
      <c r="D54" s="4" t="inlineStr">
        <is>
          <t>Bundled Apex demonstration dataset</t>
        </is>
      </c>
      <c r="E54" s="4" t="inlineStr">
        <is>
          <t>2026-09-28T18:50:27+00:00</t>
        </is>
      </c>
    </row>
    <row r="55" ht="35" customHeight="1">
      <c r="A55" s="13" t="n">
        <v>2022</v>
      </c>
      <c r="B55" s="5" t="inlineStr">
        <is>
          <t>Cash</t>
        </is>
      </c>
      <c r="C55" s="5" t="inlineStr">
        <is>
          <t>Fictional demo</t>
        </is>
      </c>
      <c r="D55" s="5" t="inlineStr">
        <is>
          <t>Bundled Apex demonstration dataset</t>
        </is>
      </c>
      <c r="E55" s="5" t="inlineStr">
        <is>
          <t>2026-09-28T18:50:27+00:00</t>
        </is>
      </c>
    </row>
    <row r="56" ht="35" customHeight="1">
      <c r="A56" s="12" t="n">
        <v>2022</v>
      </c>
      <c r="B56" s="4" t="inlineStr">
        <is>
          <t>Accounts Receivable</t>
        </is>
      </c>
      <c r="C56" s="4" t="inlineStr">
        <is>
          <t>Fictional demo</t>
        </is>
      </c>
      <c r="D56" s="4" t="inlineStr">
        <is>
          <t>Bundled Apex demonstration dataset</t>
        </is>
      </c>
      <c r="E56" s="4" t="inlineStr">
        <is>
          <t>2026-09-28T18:50:27+00:00</t>
        </is>
      </c>
    </row>
    <row r="57" ht="35" customHeight="1">
      <c r="A57" s="13" t="n">
        <v>2022</v>
      </c>
      <c r="B57" s="5" t="inlineStr">
        <is>
          <t>Inventory</t>
        </is>
      </c>
      <c r="C57" s="5" t="inlineStr">
        <is>
          <t>Fictional demo</t>
        </is>
      </c>
      <c r="D57" s="5" t="inlineStr">
        <is>
          <t>Bundled Apex demonstration dataset</t>
        </is>
      </c>
      <c r="E57" s="5" t="inlineStr">
        <is>
          <t>2026-09-28T18:50:27+00:00</t>
        </is>
      </c>
    </row>
    <row r="58" ht="35" customHeight="1">
      <c r="A58" s="12" t="n">
        <v>2022</v>
      </c>
      <c r="B58" s="4" t="inlineStr">
        <is>
          <t>Other Current Assets</t>
        </is>
      </c>
      <c r="C58" s="4" t="inlineStr">
        <is>
          <t>Fictional demo</t>
        </is>
      </c>
      <c r="D58" s="4" t="inlineStr">
        <is>
          <t>Bundled Apex demonstration dataset</t>
        </is>
      </c>
      <c r="E58" s="4" t="inlineStr">
        <is>
          <t>2026-09-28T18:50:27+00:00</t>
        </is>
      </c>
    </row>
    <row r="59" ht="35" customHeight="1">
      <c r="A59" s="13" t="n">
        <v>2022</v>
      </c>
      <c r="B59" s="5" t="inlineStr">
        <is>
          <t>Total Current Assets</t>
        </is>
      </c>
      <c r="C59" s="5" t="inlineStr">
        <is>
          <t>Fictional demo</t>
        </is>
      </c>
      <c r="D59" s="5" t="inlineStr">
        <is>
          <t>Bundled Apex demonstration dataset</t>
        </is>
      </c>
      <c r="E59" s="5" t="inlineStr">
        <is>
          <t>2026-09-28T18:50:27+00:00</t>
        </is>
      </c>
    </row>
    <row r="60" ht="35" customHeight="1">
      <c r="A60" s="12" t="n">
        <v>2022</v>
      </c>
      <c r="B60" s="4" t="inlineStr">
        <is>
          <t>Property Plant Equipment</t>
        </is>
      </c>
      <c r="C60" s="4" t="inlineStr">
        <is>
          <t>Fictional demo</t>
        </is>
      </c>
      <c r="D60" s="4" t="inlineStr">
        <is>
          <t>Bundled Apex demonstration dataset</t>
        </is>
      </c>
      <c r="E60" s="4" t="inlineStr">
        <is>
          <t>2026-09-28T18:50:27+00:00</t>
        </is>
      </c>
    </row>
    <row r="61" ht="35" customHeight="1">
      <c r="A61" s="13" t="n">
        <v>2022</v>
      </c>
      <c r="B61" s="5" t="inlineStr">
        <is>
          <t>Other Non-Current Assets</t>
        </is>
      </c>
      <c r="C61" s="5" t="inlineStr">
        <is>
          <t>Fictional demo</t>
        </is>
      </c>
      <c r="D61" s="5" t="inlineStr">
        <is>
          <t>Bundled Apex demonstration dataset</t>
        </is>
      </c>
      <c r="E61" s="5" t="inlineStr">
        <is>
          <t>2026-09-28T18:50:27+00:00</t>
        </is>
      </c>
    </row>
    <row r="62" ht="35" customHeight="1">
      <c r="A62" s="12" t="n">
        <v>2022</v>
      </c>
      <c r="B62" s="4" t="inlineStr">
        <is>
          <t>Total Assets</t>
        </is>
      </c>
      <c r="C62" s="4" t="inlineStr">
        <is>
          <t>Fictional demo</t>
        </is>
      </c>
      <c r="D62" s="4" t="inlineStr">
        <is>
          <t>Bundled Apex demonstration dataset</t>
        </is>
      </c>
      <c r="E62" s="4" t="inlineStr">
        <is>
          <t>2026-09-28T18:50:27+00:00</t>
        </is>
      </c>
    </row>
    <row r="63" ht="35" customHeight="1">
      <c r="A63" s="13" t="n">
        <v>2022</v>
      </c>
      <c r="B63" s="5" t="inlineStr">
        <is>
          <t>Accounts Payable</t>
        </is>
      </c>
      <c r="C63" s="5" t="inlineStr">
        <is>
          <t>Fictional demo</t>
        </is>
      </c>
      <c r="D63" s="5" t="inlineStr">
        <is>
          <t>Bundled Apex demonstration dataset</t>
        </is>
      </c>
      <c r="E63" s="5" t="inlineStr">
        <is>
          <t>2026-09-28T18:50:27+00:00</t>
        </is>
      </c>
    </row>
    <row r="64" ht="35" customHeight="1">
      <c r="A64" s="12" t="n">
        <v>2022</v>
      </c>
      <c r="B64" s="4" t="inlineStr">
        <is>
          <t>Short-Term Debt</t>
        </is>
      </c>
      <c r="C64" s="4" t="inlineStr">
        <is>
          <t>Fictional demo</t>
        </is>
      </c>
      <c r="D64" s="4" t="inlineStr">
        <is>
          <t>Bundled Apex demonstration dataset</t>
        </is>
      </c>
      <c r="E64" s="4" t="inlineStr">
        <is>
          <t>2026-09-28T18:50:27+00:00</t>
        </is>
      </c>
    </row>
    <row r="65" ht="35" customHeight="1">
      <c r="A65" s="13" t="n">
        <v>2022</v>
      </c>
      <c r="B65" s="5" t="inlineStr">
        <is>
          <t>Other Current Liabilities</t>
        </is>
      </c>
      <c r="C65" s="5" t="inlineStr">
        <is>
          <t>Fictional demo</t>
        </is>
      </c>
      <c r="D65" s="5" t="inlineStr">
        <is>
          <t>Bundled Apex demonstration dataset</t>
        </is>
      </c>
      <c r="E65" s="5" t="inlineStr">
        <is>
          <t>2026-09-28T18:50:27+00:00</t>
        </is>
      </c>
    </row>
    <row r="66" ht="35" customHeight="1">
      <c r="A66" s="12" t="n">
        <v>2022</v>
      </c>
      <c r="B66" s="4" t="inlineStr">
        <is>
          <t>Total Current Liabilities</t>
        </is>
      </c>
      <c r="C66" s="4" t="inlineStr">
        <is>
          <t>Fictional demo</t>
        </is>
      </c>
      <c r="D66" s="4" t="inlineStr">
        <is>
          <t>Bundled Apex demonstration dataset</t>
        </is>
      </c>
      <c r="E66" s="4" t="inlineStr">
        <is>
          <t>2026-09-28T18:50:27+00:00</t>
        </is>
      </c>
    </row>
    <row r="67" ht="35" customHeight="1">
      <c r="A67" s="13" t="n">
        <v>2022</v>
      </c>
      <c r="B67" s="5" t="inlineStr">
        <is>
          <t>Long-Term Debt</t>
        </is>
      </c>
      <c r="C67" s="5" t="inlineStr">
        <is>
          <t>Fictional demo</t>
        </is>
      </c>
      <c r="D67" s="5" t="inlineStr">
        <is>
          <t>Bundled Apex demonstration dataset</t>
        </is>
      </c>
      <c r="E67" s="5" t="inlineStr">
        <is>
          <t>2026-09-28T18:50:27+00:00</t>
        </is>
      </c>
    </row>
    <row r="68" ht="35" customHeight="1">
      <c r="A68" s="12" t="n">
        <v>2022</v>
      </c>
      <c r="B68" s="4" t="inlineStr">
        <is>
          <t>Other Non-Current Liabilities</t>
        </is>
      </c>
      <c r="C68" s="4" t="inlineStr">
        <is>
          <t>Fictional demo</t>
        </is>
      </c>
      <c r="D68" s="4" t="inlineStr">
        <is>
          <t>Bundled Apex demonstration dataset</t>
        </is>
      </c>
      <c r="E68" s="4" t="inlineStr">
        <is>
          <t>2026-09-28T18:50:27+00:00</t>
        </is>
      </c>
    </row>
    <row r="69" ht="35" customHeight="1">
      <c r="A69" s="13" t="n">
        <v>2022</v>
      </c>
      <c r="B69" s="5" t="inlineStr">
        <is>
          <t>Total Liabilities</t>
        </is>
      </c>
      <c r="C69" s="5" t="inlineStr">
        <is>
          <t>Fictional demo</t>
        </is>
      </c>
      <c r="D69" s="5" t="inlineStr">
        <is>
          <t>Bundled Apex demonstration dataset</t>
        </is>
      </c>
      <c r="E69" s="5" t="inlineStr">
        <is>
          <t>2026-09-28T18:50:27+00:00</t>
        </is>
      </c>
    </row>
    <row r="70" ht="35" customHeight="1">
      <c r="A70" s="12" t="n">
        <v>2022</v>
      </c>
      <c r="B70" s="4" t="inlineStr">
        <is>
          <t>Shareholders Equity</t>
        </is>
      </c>
      <c r="C70" s="4" t="inlineStr">
        <is>
          <t>Fictional demo</t>
        </is>
      </c>
      <c r="D70" s="4" t="inlineStr">
        <is>
          <t>Bundled Apex demonstration dataset</t>
        </is>
      </c>
      <c r="E70" s="4" t="inlineStr">
        <is>
          <t>2026-09-28T18:50:27+00:00</t>
        </is>
      </c>
    </row>
    <row r="71" ht="35" customHeight="1">
      <c r="A71" s="13" t="n">
        <v>2022</v>
      </c>
      <c r="B71" s="5" t="inlineStr">
        <is>
          <t>Operating Cash Flow</t>
        </is>
      </c>
      <c r="C71" s="5" t="inlineStr">
        <is>
          <t>Fictional demo</t>
        </is>
      </c>
      <c r="D71" s="5" t="inlineStr">
        <is>
          <t>Bundled Apex demonstration dataset</t>
        </is>
      </c>
      <c r="E71" s="5" t="inlineStr">
        <is>
          <t>2026-09-28T18:50:27+00:00</t>
        </is>
      </c>
    </row>
    <row r="72" ht="35" customHeight="1">
      <c r="A72" s="12" t="n">
        <v>2022</v>
      </c>
      <c r="B72" s="4" t="inlineStr">
        <is>
          <t>Capital Expenditure</t>
        </is>
      </c>
      <c r="C72" s="4" t="inlineStr">
        <is>
          <t>Fictional demo</t>
        </is>
      </c>
      <c r="D72" s="4" t="inlineStr">
        <is>
          <t>Bundled Apex demonstration dataset</t>
        </is>
      </c>
      <c r="E72" s="4" t="inlineStr">
        <is>
          <t>2026-09-28T18:50:27+00:00</t>
        </is>
      </c>
    </row>
    <row r="73" ht="35" customHeight="1">
      <c r="A73" s="13" t="n">
        <v>2022</v>
      </c>
      <c r="B73" s="5" t="inlineStr">
        <is>
          <t>Investing Cash Flow</t>
        </is>
      </c>
      <c r="C73" s="5" t="inlineStr">
        <is>
          <t>Fictional demo</t>
        </is>
      </c>
      <c r="D73" s="5" t="inlineStr">
        <is>
          <t>Bundled Apex demonstration dataset</t>
        </is>
      </c>
      <c r="E73" s="5" t="inlineStr">
        <is>
          <t>2026-09-28T18:50:27+00:00</t>
        </is>
      </c>
    </row>
    <row r="74" ht="35" customHeight="1">
      <c r="A74" s="12" t="n">
        <v>2022</v>
      </c>
      <c r="B74" s="4" t="inlineStr">
        <is>
          <t>Financing Cash Flow</t>
        </is>
      </c>
      <c r="C74" s="4" t="inlineStr">
        <is>
          <t>Fictional demo</t>
        </is>
      </c>
      <c r="D74" s="4" t="inlineStr">
        <is>
          <t>Bundled Apex demonstration dataset</t>
        </is>
      </c>
      <c r="E74" s="4" t="inlineStr">
        <is>
          <t>2026-09-28T18:50:27+00:00</t>
        </is>
      </c>
    </row>
    <row r="75" ht="35" customHeight="1">
      <c r="A75" s="13" t="n">
        <v>2022</v>
      </c>
      <c r="B75" s="5" t="inlineStr">
        <is>
          <t>Cash Dividends</t>
        </is>
      </c>
      <c r="C75" s="5" t="inlineStr">
        <is>
          <t>Fictional demo</t>
        </is>
      </c>
      <c r="D75" s="5" t="inlineStr">
        <is>
          <t>Bundled Apex demonstration dataset</t>
        </is>
      </c>
      <c r="E75" s="5" t="inlineStr">
        <is>
          <t>2026-09-28T18:50:27+00:00</t>
        </is>
      </c>
    </row>
    <row r="76" ht="35" customHeight="1">
      <c r="A76" s="12" t="n">
        <v>2022</v>
      </c>
      <c r="B76" s="4" t="inlineStr">
        <is>
          <t>Shares Outstanding</t>
        </is>
      </c>
      <c r="C76" s="4" t="inlineStr">
        <is>
          <t>Fictional demo</t>
        </is>
      </c>
      <c r="D76" s="4" t="inlineStr">
        <is>
          <t>Bundled Apex demonstration dataset</t>
        </is>
      </c>
      <c r="E76" s="4" t="inlineStr">
        <is>
          <t>2026-09-28T18:50:27+00:00</t>
        </is>
      </c>
    </row>
    <row r="77" ht="35" customHeight="1">
      <c r="A77" s="13" t="n">
        <v>2022</v>
      </c>
      <c r="B77" s="5" t="inlineStr">
        <is>
          <t>Weighted Average Shares Outstanding</t>
        </is>
      </c>
      <c r="C77" s="5" t="inlineStr">
        <is>
          <t>Fictional demo</t>
        </is>
      </c>
      <c r="D77" s="5" t="inlineStr">
        <is>
          <t>Bundled Apex demonstration dataset</t>
        </is>
      </c>
      <c r="E77" s="5" t="inlineStr">
        <is>
          <t>2026-09-28T18:50:27+00:00</t>
        </is>
      </c>
    </row>
    <row r="78" ht="35" customHeight="1">
      <c r="A78" s="12" t="n">
        <v>2022</v>
      </c>
      <c r="B78" s="4" t="inlineStr">
        <is>
          <t>Market Price Per Share</t>
        </is>
      </c>
      <c r="C78" s="4" t="inlineStr">
        <is>
          <t>Fictional demo</t>
        </is>
      </c>
      <c r="D78" s="4" t="inlineStr">
        <is>
          <t>Bundled Apex demonstration dataset</t>
        </is>
      </c>
      <c r="E78" s="4" t="inlineStr">
        <is>
          <t>2026-09-28T18:50:27+00:00</t>
        </is>
      </c>
    </row>
    <row r="79" ht="35" customHeight="1">
      <c r="A79" s="13" t="n">
        <v>2022</v>
      </c>
      <c r="B79" s="5" t="inlineStr">
        <is>
          <t>Preferred Dividends</t>
        </is>
      </c>
      <c r="C79" s="5" t="inlineStr">
        <is>
          <t>Fictional demo</t>
        </is>
      </c>
      <c r="D79" s="5" t="inlineStr">
        <is>
          <t>Bundled Apex demonstration dataset</t>
        </is>
      </c>
      <c r="E79" s="5" t="inlineStr">
        <is>
          <t>2026-09-28T18:50:27+00:00</t>
        </is>
      </c>
    </row>
    <row r="80" ht="35" customHeight="1">
      <c r="A80" s="12" t="n">
        <v>2022</v>
      </c>
      <c r="B80" s="4" t="inlineStr">
        <is>
          <t>Retained Earnings</t>
        </is>
      </c>
      <c r="C80" s="4" t="inlineStr">
        <is>
          <t>Fictional demo</t>
        </is>
      </c>
      <c r="D80" s="4" t="inlineStr">
        <is>
          <t>Bundled Apex demonstration dataset</t>
        </is>
      </c>
      <c r="E80" s="4" t="inlineStr">
        <is>
          <t>2026-09-28T18:50:27+00:00</t>
        </is>
      </c>
    </row>
    <row r="81" ht="35" customHeight="1">
      <c r="A81" s="13" t="n">
        <v>2022</v>
      </c>
      <c r="B81" s="5" t="inlineStr">
        <is>
          <t>Cash Interest Paid</t>
        </is>
      </c>
      <c r="C81" s="5" t="inlineStr">
        <is>
          <t>Fictional demo</t>
        </is>
      </c>
      <c r="D81" s="5" t="inlineStr">
        <is>
          <t>Bundled Apex demonstration dataset</t>
        </is>
      </c>
      <c r="E81" s="5" t="inlineStr">
        <is>
          <t>2026-09-28T18:50:27+00:00</t>
        </is>
      </c>
    </row>
    <row r="82" ht="35" customHeight="1">
      <c r="A82" s="12" t="n">
        <v>2022</v>
      </c>
      <c r="B82" s="4" t="inlineStr">
        <is>
          <t>Cash Taxes Paid</t>
        </is>
      </c>
      <c r="C82" s="4" t="inlineStr">
        <is>
          <t>Fictional demo</t>
        </is>
      </c>
      <c r="D82" s="4" t="inlineStr">
        <is>
          <t>Bundled Apex demonstration dataset</t>
        </is>
      </c>
      <c r="E82" s="4" t="inlineStr">
        <is>
          <t>2026-09-28T18:50:27+00:00</t>
        </is>
      </c>
    </row>
    <row r="83" ht="35" customHeight="1">
      <c r="A83" s="13" t="n">
        <v>2022</v>
      </c>
      <c r="B83" s="5" t="inlineStr">
        <is>
          <t>FX Effect on Cash</t>
        </is>
      </c>
      <c r="C83" s="5" t="inlineStr">
        <is>
          <t>Fictional demo</t>
        </is>
      </c>
      <c r="D83" s="5" t="inlineStr">
        <is>
          <t>Bundled Apex demonstration dataset</t>
        </is>
      </c>
      <c r="E83" s="5" t="inlineStr">
        <is>
          <t>2026-09-28T18:50:27+00:00</t>
        </is>
      </c>
    </row>
    <row r="84" ht="35" customHeight="1">
      <c r="A84" s="12" t="n">
        <v>2023</v>
      </c>
      <c r="B84" s="4" t="inlineStr">
        <is>
          <t>Revenue</t>
        </is>
      </c>
      <c r="C84" s="4" t="inlineStr">
        <is>
          <t>Fictional demo</t>
        </is>
      </c>
      <c r="D84" s="4" t="inlineStr">
        <is>
          <t>Bundled Apex demonstration dataset</t>
        </is>
      </c>
      <c r="E84" s="4" t="inlineStr">
        <is>
          <t>2026-09-28T18:50:27+00:00</t>
        </is>
      </c>
    </row>
    <row r="85" ht="35" customHeight="1">
      <c r="A85" s="13" t="n">
        <v>2023</v>
      </c>
      <c r="B85" s="5" t="inlineStr">
        <is>
          <t>COGS</t>
        </is>
      </c>
      <c r="C85" s="5" t="inlineStr">
        <is>
          <t>Fictional demo</t>
        </is>
      </c>
      <c r="D85" s="5" t="inlineStr">
        <is>
          <t>Bundled Apex demonstration dataset</t>
        </is>
      </c>
      <c r="E85" s="5" t="inlineStr">
        <is>
          <t>2026-09-28T18:50:27+00:00</t>
        </is>
      </c>
    </row>
    <row r="86" ht="35" customHeight="1">
      <c r="A86" s="12" t="n">
        <v>2023</v>
      </c>
      <c r="B86" s="4" t="inlineStr">
        <is>
          <t>Gross Profit</t>
        </is>
      </c>
      <c r="C86" s="4" t="inlineStr">
        <is>
          <t>Fictional demo</t>
        </is>
      </c>
      <c r="D86" s="4" t="inlineStr">
        <is>
          <t>Bundled Apex demonstration dataset</t>
        </is>
      </c>
      <c r="E86" s="4" t="inlineStr">
        <is>
          <t>2026-09-28T18:50:27+00:00</t>
        </is>
      </c>
    </row>
    <row r="87" ht="35" customHeight="1">
      <c r="A87" s="13" t="n">
        <v>2023</v>
      </c>
      <c r="B87" s="5" t="inlineStr">
        <is>
          <t>Operating Expenses</t>
        </is>
      </c>
      <c r="C87" s="5" t="inlineStr">
        <is>
          <t>Fictional demo</t>
        </is>
      </c>
      <c r="D87" s="5" t="inlineStr">
        <is>
          <t>Bundled Apex demonstration dataset</t>
        </is>
      </c>
      <c r="E87" s="5" t="inlineStr">
        <is>
          <t>2026-09-28T18:50:27+00:00</t>
        </is>
      </c>
    </row>
    <row r="88" ht="35" customHeight="1">
      <c r="A88" s="12" t="n">
        <v>2023</v>
      </c>
      <c r="B88" s="4" t="inlineStr">
        <is>
          <t>EBITDA</t>
        </is>
      </c>
      <c r="C88" s="4" t="inlineStr">
        <is>
          <t>Fictional demo</t>
        </is>
      </c>
      <c r="D88" s="4" t="inlineStr">
        <is>
          <t>Bundled Apex demonstration dataset</t>
        </is>
      </c>
      <c r="E88" s="4" t="inlineStr">
        <is>
          <t>2026-09-28T18:50:27+00:00</t>
        </is>
      </c>
    </row>
    <row r="89" ht="35" customHeight="1">
      <c r="A89" s="13" t="n">
        <v>2023</v>
      </c>
      <c r="B89" s="5" t="inlineStr">
        <is>
          <t>Depreciation</t>
        </is>
      </c>
      <c r="C89" s="5" t="inlineStr">
        <is>
          <t>Fictional demo</t>
        </is>
      </c>
      <c r="D89" s="5" t="inlineStr">
        <is>
          <t>Bundled Apex demonstration dataset</t>
        </is>
      </c>
      <c r="E89" s="5" t="inlineStr">
        <is>
          <t>2026-09-28T18:50:27+00:00</t>
        </is>
      </c>
    </row>
    <row r="90" ht="35" customHeight="1">
      <c r="A90" s="12" t="n">
        <v>2023</v>
      </c>
      <c r="B90" s="4" t="inlineStr">
        <is>
          <t>EBIT</t>
        </is>
      </c>
      <c r="C90" s="4" t="inlineStr">
        <is>
          <t>Fictional demo</t>
        </is>
      </c>
      <c r="D90" s="4" t="inlineStr">
        <is>
          <t>Bundled Apex demonstration dataset</t>
        </is>
      </c>
      <c r="E90" s="4" t="inlineStr">
        <is>
          <t>2026-09-28T18:50:27+00:00</t>
        </is>
      </c>
    </row>
    <row r="91" ht="35" customHeight="1">
      <c r="A91" s="13" t="n">
        <v>2023</v>
      </c>
      <c r="B91" s="5" t="inlineStr">
        <is>
          <t>Interest Expense</t>
        </is>
      </c>
      <c r="C91" s="5" t="inlineStr">
        <is>
          <t>Fictional demo</t>
        </is>
      </c>
      <c r="D91" s="5" t="inlineStr">
        <is>
          <t>Bundled Apex demonstration dataset</t>
        </is>
      </c>
      <c r="E91" s="5" t="inlineStr">
        <is>
          <t>2026-09-28T18:50:27+00:00</t>
        </is>
      </c>
    </row>
    <row r="92" ht="35" customHeight="1">
      <c r="A92" s="12" t="n">
        <v>2023</v>
      </c>
      <c r="B92" s="4" t="inlineStr">
        <is>
          <t>EBT</t>
        </is>
      </c>
      <c r="C92" s="4" t="inlineStr">
        <is>
          <t>Fictional demo</t>
        </is>
      </c>
      <c r="D92" s="4" t="inlineStr">
        <is>
          <t>Bundled Apex demonstration dataset</t>
        </is>
      </c>
      <c r="E92" s="4" t="inlineStr">
        <is>
          <t>2026-09-28T18:50:27+00:00</t>
        </is>
      </c>
    </row>
    <row r="93" ht="35" customHeight="1">
      <c r="A93" s="13" t="n">
        <v>2023</v>
      </c>
      <c r="B93" s="5" t="inlineStr">
        <is>
          <t>Tax Expense</t>
        </is>
      </c>
      <c r="C93" s="5" t="inlineStr">
        <is>
          <t>Fictional demo</t>
        </is>
      </c>
      <c r="D93" s="5" t="inlineStr">
        <is>
          <t>Bundled Apex demonstration dataset</t>
        </is>
      </c>
      <c r="E93" s="5" t="inlineStr">
        <is>
          <t>2026-09-28T18:50:27+00:00</t>
        </is>
      </c>
    </row>
    <row r="94" ht="35" customHeight="1">
      <c r="A94" s="12" t="n">
        <v>2023</v>
      </c>
      <c r="B94" s="4" t="inlineStr">
        <is>
          <t>Net Income</t>
        </is>
      </c>
      <c r="C94" s="4" t="inlineStr">
        <is>
          <t>Fictional demo</t>
        </is>
      </c>
      <c r="D94" s="4" t="inlineStr">
        <is>
          <t>Bundled Apex demonstration dataset</t>
        </is>
      </c>
      <c r="E94" s="4" t="inlineStr">
        <is>
          <t>2026-09-28T18:50:27+00:00</t>
        </is>
      </c>
    </row>
    <row r="95" ht="35" customHeight="1">
      <c r="A95" s="13" t="n">
        <v>2023</v>
      </c>
      <c r="B95" s="5" t="inlineStr">
        <is>
          <t>Cash</t>
        </is>
      </c>
      <c r="C95" s="5" t="inlineStr">
        <is>
          <t>Fictional demo</t>
        </is>
      </c>
      <c r="D95" s="5" t="inlineStr">
        <is>
          <t>Bundled Apex demonstration dataset</t>
        </is>
      </c>
      <c r="E95" s="5" t="inlineStr">
        <is>
          <t>2026-09-28T18:50:27+00:00</t>
        </is>
      </c>
    </row>
    <row r="96" ht="35" customHeight="1">
      <c r="A96" s="12" t="n">
        <v>2023</v>
      </c>
      <c r="B96" s="4" t="inlineStr">
        <is>
          <t>Accounts Receivable</t>
        </is>
      </c>
      <c r="C96" s="4" t="inlineStr">
        <is>
          <t>Fictional demo</t>
        </is>
      </c>
      <c r="D96" s="4" t="inlineStr">
        <is>
          <t>Bundled Apex demonstration dataset</t>
        </is>
      </c>
      <c r="E96" s="4" t="inlineStr">
        <is>
          <t>2026-09-28T18:50:27+00:00</t>
        </is>
      </c>
    </row>
    <row r="97" ht="35" customHeight="1">
      <c r="A97" s="13" t="n">
        <v>2023</v>
      </c>
      <c r="B97" s="5" t="inlineStr">
        <is>
          <t>Inventory</t>
        </is>
      </c>
      <c r="C97" s="5" t="inlineStr">
        <is>
          <t>Fictional demo</t>
        </is>
      </c>
      <c r="D97" s="5" t="inlineStr">
        <is>
          <t>Bundled Apex demonstration dataset</t>
        </is>
      </c>
      <c r="E97" s="5" t="inlineStr">
        <is>
          <t>2026-09-28T18:50:27+00:00</t>
        </is>
      </c>
    </row>
    <row r="98" ht="35" customHeight="1">
      <c r="A98" s="12" t="n">
        <v>2023</v>
      </c>
      <c r="B98" s="4" t="inlineStr">
        <is>
          <t>Other Current Assets</t>
        </is>
      </c>
      <c r="C98" s="4" t="inlineStr">
        <is>
          <t>Fictional demo</t>
        </is>
      </c>
      <c r="D98" s="4" t="inlineStr">
        <is>
          <t>Bundled Apex demonstration dataset</t>
        </is>
      </c>
      <c r="E98" s="4" t="inlineStr">
        <is>
          <t>2026-09-28T18:50:27+00:00</t>
        </is>
      </c>
    </row>
    <row r="99" ht="35" customHeight="1">
      <c r="A99" s="13" t="n">
        <v>2023</v>
      </c>
      <c r="B99" s="5" t="inlineStr">
        <is>
          <t>Total Current Assets</t>
        </is>
      </c>
      <c r="C99" s="5" t="inlineStr">
        <is>
          <t>Fictional demo</t>
        </is>
      </c>
      <c r="D99" s="5" t="inlineStr">
        <is>
          <t>Bundled Apex demonstration dataset</t>
        </is>
      </c>
      <c r="E99" s="5" t="inlineStr">
        <is>
          <t>2026-09-28T18:50:27+00:00</t>
        </is>
      </c>
    </row>
    <row r="100" ht="35" customHeight="1">
      <c r="A100" s="12" t="n">
        <v>2023</v>
      </c>
      <c r="B100" s="4" t="inlineStr">
        <is>
          <t>Property Plant Equipment</t>
        </is>
      </c>
      <c r="C100" s="4" t="inlineStr">
        <is>
          <t>Fictional demo</t>
        </is>
      </c>
      <c r="D100" s="4" t="inlineStr">
        <is>
          <t>Bundled Apex demonstration dataset</t>
        </is>
      </c>
      <c r="E100" s="4" t="inlineStr">
        <is>
          <t>2026-09-28T18:50:27+00:00</t>
        </is>
      </c>
    </row>
    <row r="101" ht="35" customHeight="1">
      <c r="A101" s="13" t="n">
        <v>2023</v>
      </c>
      <c r="B101" s="5" t="inlineStr">
        <is>
          <t>Other Non-Current Assets</t>
        </is>
      </c>
      <c r="C101" s="5" t="inlineStr">
        <is>
          <t>Fictional demo</t>
        </is>
      </c>
      <c r="D101" s="5" t="inlineStr">
        <is>
          <t>Bundled Apex demonstration dataset</t>
        </is>
      </c>
      <c r="E101" s="5" t="inlineStr">
        <is>
          <t>2026-09-28T18:50:27+00:00</t>
        </is>
      </c>
    </row>
    <row r="102" ht="35" customHeight="1">
      <c r="A102" s="12" t="n">
        <v>2023</v>
      </c>
      <c r="B102" s="4" t="inlineStr">
        <is>
          <t>Total Assets</t>
        </is>
      </c>
      <c r="C102" s="4" t="inlineStr">
        <is>
          <t>Fictional demo</t>
        </is>
      </c>
      <c r="D102" s="4" t="inlineStr">
        <is>
          <t>Bundled Apex demonstration dataset</t>
        </is>
      </c>
      <c r="E102" s="4" t="inlineStr">
        <is>
          <t>2026-09-28T18:50:27+00:00</t>
        </is>
      </c>
    </row>
    <row r="103" ht="35" customHeight="1">
      <c r="A103" s="13" t="n">
        <v>2023</v>
      </c>
      <c r="B103" s="5" t="inlineStr">
        <is>
          <t>Accounts Payable</t>
        </is>
      </c>
      <c r="C103" s="5" t="inlineStr">
        <is>
          <t>Fictional demo</t>
        </is>
      </c>
      <c r="D103" s="5" t="inlineStr">
        <is>
          <t>Bundled Apex demonstration dataset</t>
        </is>
      </c>
      <c r="E103" s="5" t="inlineStr">
        <is>
          <t>2026-09-28T18:50:27+00:00</t>
        </is>
      </c>
    </row>
    <row r="104" ht="35" customHeight="1">
      <c r="A104" s="12" t="n">
        <v>2023</v>
      </c>
      <c r="B104" s="4" t="inlineStr">
        <is>
          <t>Short-Term Debt</t>
        </is>
      </c>
      <c r="C104" s="4" t="inlineStr">
        <is>
          <t>Fictional demo</t>
        </is>
      </c>
      <c r="D104" s="4" t="inlineStr">
        <is>
          <t>Bundled Apex demonstration dataset</t>
        </is>
      </c>
      <c r="E104" s="4" t="inlineStr">
        <is>
          <t>2026-09-28T18:50:27+00:00</t>
        </is>
      </c>
    </row>
    <row r="105" ht="35" customHeight="1">
      <c r="A105" s="13" t="n">
        <v>2023</v>
      </c>
      <c r="B105" s="5" t="inlineStr">
        <is>
          <t>Other Current Liabilities</t>
        </is>
      </c>
      <c r="C105" s="5" t="inlineStr">
        <is>
          <t>Fictional demo</t>
        </is>
      </c>
      <c r="D105" s="5" t="inlineStr">
        <is>
          <t>Bundled Apex demonstration dataset</t>
        </is>
      </c>
      <c r="E105" s="5" t="inlineStr">
        <is>
          <t>2026-09-28T18:50:27+00:00</t>
        </is>
      </c>
    </row>
    <row r="106" ht="35" customHeight="1">
      <c r="A106" s="12" t="n">
        <v>2023</v>
      </c>
      <c r="B106" s="4" t="inlineStr">
        <is>
          <t>Total Current Liabilities</t>
        </is>
      </c>
      <c r="C106" s="4" t="inlineStr">
        <is>
          <t>Fictional demo</t>
        </is>
      </c>
      <c r="D106" s="4" t="inlineStr">
        <is>
          <t>Bundled Apex demonstration dataset</t>
        </is>
      </c>
      <c r="E106" s="4" t="inlineStr">
        <is>
          <t>2026-09-28T18:50:27+00:00</t>
        </is>
      </c>
    </row>
    <row r="107" ht="35" customHeight="1">
      <c r="A107" s="13" t="n">
        <v>2023</v>
      </c>
      <c r="B107" s="5" t="inlineStr">
        <is>
          <t>Long-Term Debt</t>
        </is>
      </c>
      <c r="C107" s="5" t="inlineStr">
        <is>
          <t>Fictional demo</t>
        </is>
      </c>
      <c r="D107" s="5" t="inlineStr">
        <is>
          <t>Bundled Apex demonstration dataset</t>
        </is>
      </c>
      <c r="E107" s="5" t="inlineStr">
        <is>
          <t>2026-09-28T18:50:27+00:00</t>
        </is>
      </c>
    </row>
    <row r="108" ht="35" customHeight="1">
      <c r="A108" s="12" t="n">
        <v>2023</v>
      </c>
      <c r="B108" s="4" t="inlineStr">
        <is>
          <t>Other Non-Current Liabilities</t>
        </is>
      </c>
      <c r="C108" s="4" t="inlineStr">
        <is>
          <t>Fictional demo</t>
        </is>
      </c>
      <c r="D108" s="4" t="inlineStr">
        <is>
          <t>Bundled Apex demonstration dataset</t>
        </is>
      </c>
      <c r="E108" s="4" t="inlineStr">
        <is>
          <t>2026-09-28T18:50:27+00:00</t>
        </is>
      </c>
    </row>
    <row r="109" ht="35" customHeight="1">
      <c r="A109" s="13" t="n">
        <v>2023</v>
      </c>
      <c r="B109" s="5" t="inlineStr">
        <is>
          <t>Total Liabilities</t>
        </is>
      </c>
      <c r="C109" s="5" t="inlineStr">
        <is>
          <t>Fictional demo</t>
        </is>
      </c>
      <c r="D109" s="5" t="inlineStr">
        <is>
          <t>Bundled Apex demonstration dataset</t>
        </is>
      </c>
      <c r="E109" s="5" t="inlineStr">
        <is>
          <t>2026-09-28T18:50:27+00:00</t>
        </is>
      </c>
    </row>
    <row r="110" ht="35" customHeight="1">
      <c r="A110" s="12" t="n">
        <v>2023</v>
      </c>
      <c r="B110" s="4" t="inlineStr">
        <is>
          <t>Shareholders Equity</t>
        </is>
      </c>
      <c r="C110" s="4" t="inlineStr">
        <is>
          <t>Fictional demo</t>
        </is>
      </c>
      <c r="D110" s="4" t="inlineStr">
        <is>
          <t>Bundled Apex demonstration dataset</t>
        </is>
      </c>
      <c r="E110" s="4" t="inlineStr">
        <is>
          <t>2026-09-28T18:50:27+00:00</t>
        </is>
      </c>
    </row>
    <row r="111" ht="35" customHeight="1">
      <c r="A111" s="13" t="n">
        <v>2023</v>
      </c>
      <c r="B111" s="5" t="inlineStr">
        <is>
          <t>Operating Cash Flow</t>
        </is>
      </c>
      <c r="C111" s="5" t="inlineStr">
        <is>
          <t>Fictional demo</t>
        </is>
      </c>
      <c r="D111" s="5" t="inlineStr">
        <is>
          <t>Bundled Apex demonstration dataset</t>
        </is>
      </c>
      <c r="E111" s="5" t="inlineStr">
        <is>
          <t>2026-09-28T18:50:27+00:00</t>
        </is>
      </c>
    </row>
    <row r="112" ht="35" customHeight="1">
      <c r="A112" s="12" t="n">
        <v>2023</v>
      </c>
      <c r="B112" s="4" t="inlineStr">
        <is>
          <t>Capital Expenditure</t>
        </is>
      </c>
      <c r="C112" s="4" t="inlineStr">
        <is>
          <t>Fictional demo</t>
        </is>
      </c>
      <c r="D112" s="4" t="inlineStr">
        <is>
          <t>Bundled Apex demonstration dataset</t>
        </is>
      </c>
      <c r="E112" s="4" t="inlineStr">
        <is>
          <t>2026-09-28T18:50:27+00:00</t>
        </is>
      </c>
    </row>
    <row r="113" ht="35" customHeight="1">
      <c r="A113" s="13" t="n">
        <v>2023</v>
      </c>
      <c r="B113" s="5" t="inlineStr">
        <is>
          <t>Investing Cash Flow</t>
        </is>
      </c>
      <c r="C113" s="5" t="inlineStr">
        <is>
          <t>Fictional demo</t>
        </is>
      </c>
      <c r="D113" s="5" t="inlineStr">
        <is>
          <t>Bundled Apex demonstration dataset</t>
        </is>
      </c>
      <c r="E113" s="5" t="inlineStr">
        <is>
          <t>2026-09-28T18:50:27+00:00</t>
        </is>
      </c>
    </row>
    <row r="114" ht="35" customHeight="1">
      <c r="A114" s="12" t="n">
        <v>2023</v>
      </c>
      <c r="B114" s="4" t="inlineStr">
        <is>
          <t>Financing Cash Flow</t>
        </is>
      </c>
      <c r="C114" s="4" t="inlineStr">
        <is>
          <t>Fictional demo</t>
        </is>
      </c>
      <c r="D114" s="4" t="inlineStr">
        <is>
          <t>Bundled Apex demonstration dataset</t>
        </is>
      </c>
      <c r="E114" s="4" t="inlineStr">
        <is>
          <t>2026-09-28T18:50:27+00:00</t>
        </is>
      </c>
    </row>
    <row r="115" ht="35" customHeight="1">
      <c r="A115" s="13" t="n">
        <v>2023</v>
      </c>
      <c r="B115" s="5" t="inlineStr">
        <is>
          <t>Cash Dividends</t>
        </is>
      </c>
      <c r="C115" s="5" t="inlineStr">
        <is>
          <t>Fictional demo</t>
        </is>
      </c>
      <c r="D115" s="5" t="inlineStr">
        <is>
          <t>Bundled Apex demonstration dataset</t>
        </is>
      </c>
      <c r="E115" s="5" t="inlineStr">
        <is>
          <t>2026-09-28T18:50:27+00:00</t>
        </is>
      </c>
    </row>
    <row r="116" ht="35" customHeight="1">
      <c r="A116" s="12" t="n">
        <v>2023</v>
      </c>
      <c r="B116" s="4" t="inlineStr">
        <is>
          <t>Shares Outstanding</t>
        </is>
      </c>
      <c r="C116" s="4" t="inlineStr">
        <is>
          <t>Fictional demo</t>
        </is>
      </c>
      <c r="D116" s="4" t="inlineStr">
        <is>
          <t>Bundled Apex demonstration dataset</t>
        </is>
      </c>
      <c r="E116" s="4" t="inlineStr">
        <is>
          <t>2026-09-28T18:50:27+00:00</t>
        </is>
      </c>
    </row>
    <row r="117" ht="35" customHeight="1">
      <c r="A117" s="13" t="n">
        <v>2023</v>
      </c>
      <c r="B117" s="5" t="inlineStr">
        <is>
          <t>Weighted Average Shares Outstanding</t>
        </is>
      </c>
      <c r="C117" s="5" t="inlineStr">
        <is>
          <t>Fictional demo</t>
        </is>
      </c>
      <c r="D117" s="5" t="inlineStr">
        <is>
          <t>Bundled Apex demonstration dataset</t>
        </is>
      </c>
      <c r="E117" s="5" t="inlineStr">
        <is>
          <t>2026-09-28T18:50:27+00:00</t>
        </is>
      </c>
    </row>
    <row r="118" ht="35" customHeight="1">
      <c r="A118" s="12" t="n">
        <v>2023</v>
      </c>
      <c r="B118" s="4" t="inlineStr">
        <is>
          <t>Market Price Per Share</t>
        </is>
      </c>
      <c r="C118" s="4" t="inlineStr">
        <is>
          <t>Fictional demo</t>
        </is>
      </c>
      <c r="D118" s="4" t="inlineStr">
        <is>
          <t>Bundled Apex demonstration dataset</t>
        </is>
      </c>
      <c r="E118" s="4" t="inlineStr">
        <is>
          <t>2026-09-28T18:50:27+00:00</t>
        </is>
      </c>
    </row>
    <row r="119" ht="35" customHeight="1">
      <c r="A119" s="13" t="n">
        <v>2023</v>
      </c>
      <c r="B119" s="5" t="inlineStr">
        <is>
          <t>Preferred Dividends</t>
        </is>
      </c>
      <c r="C119" s="5" t="inlineStr">
        <is>
          <t>Fictional demo</t>
        </is>
      </c>
      <c r="D119" s="5" t="inlineStr">
        <is>
          <t>Bundled Apex demonstration dataset</t>
        </is>
      </c>
      <c r="E119" s="5" t="inlineStr">
        <is>
          <t>2026-09-28T18:50:27+00:00</t>
        </is>
      </c>
    </row>
    <row r="120" ht="35" customHeight="1">
      <c r="A120" s="12" t="n">
        <v>2023</v>
      </c>
      <c r="B120" s="4" t="inlineStr">
        <is>
          <t>Retained Earnings</t>
        </is>
      </c>
      <c r="C120" s="4" t="inlineStr">
        <is>
          <t>Fictional demo</t>
        </is>
      </c>
      <c r="D120" s="4" t="inlineStr">
        <is>
          <t>Bundled Apex demonstration dataset</t>
        </is>
      </c>
      <c r="E120" s="4" t="inlineStr">
        <is>
          <t>2026-09-28T18:50:27+00:00</t>
        </is>
      </c>
    </row>
    <row r="121" ht="35" customHeight="1">
      <c r="A121" s="13" t="n">
        <v>2023</v>
      </c>
      <c r="B121" s="5" t="inlineStr">
        <is>
          <t>Cash Interest Paid</t>
        </is>
      </c>
      <c r="C121" s="5" t="inlineStr">
        <is>
          <t>Fictional demo</t>
        </is>
      </c>
      <c r="D121" s="5" t="inlineStr">
        <is>
          <t>Bundled Apex demonstration dataset</t>
        </is>
      </c>
      <c r="E121" s="5" t="inlineStr">
        <is>
          <t>2026-09-28T18:50:27+00:00</t>
        </is>
      </c>
    </row>
    <row r="122" ht="35" customHeight="1">
      <c r="A122" s="12" t="n">
        <v>2023</v>
      </c>
      <c r="B122" s="4" t="inlineStr">
        <is>
          <t>Cash Taxes Paid</t>
        </is>
      </c>
      <c r="C122" s="4" t="inlineStr">
        <is>
          <t>Fictional demo</t>
        </is>
      </c>
      <c r="D122" s="4" t="inlineStr">
        <is>
          <t>Bundled Apex demonstration dataset</t>
        </is>
      </c>
      <c r="E122" s="4" t="inlineStr">
        <is>
          <t>2026-09-28T18:50:27+00:00</t>
        </is>
      </c>
    </row>
    <row r="123" ht="35" customHeight="1">
      <c r="A123" s="13" t="n">
        <v>2023</v>
      </c>
      <c r="B123" s="5" t="inlineStr">
        <is>
          <t>FX Effect on Cash</t>
        </is>
      </c>
      <c r="C123" s="5" t="inlineStr">
        <is>
          <t>Fictional demo</t>
        </is>
      </c>
      <c r="D123" s="5" t="inlineStr">
        <is>
          <t>Bundled Apex demonstration dataset</t>
        </is>
      </c>
      <c r="E123" s="5" t="inlineStr">
        <is>
          <t>2026-09-28T18:50:27+00:00</t>
        </is>
      </c>
    </row>
    <row r="124" ht="35" customHeight="1">
      <c r="A124" s="12" t="n">
        <v>2024</v>
      </c>
      <c r="B124" s="4" t="inlineStr">
        <is>
          <t>Revenue</t>
        </is>
      </c>
      <c r="C124" s="4" t="inlineStr">
        <is>
          <t>Fictional demo</t>
        </is>
      </c>
      <c r="D124" s="4" t="inlineStr">
        <is>
          <t>Bundled Apex demonstration dataset</t>
        </is>
      </c>
      <c r="E124" s="4" t="inlineStr">
        <is>
          <t>2026-09-28T18:50:27+00:00</t>
        </is>
      </c>
    </row>
    <row r="125" ht="35" customHeight="1">
      <c r="A125" s="13" t="n">
        <v>2024</v>
      </c>
      <c r="B125" s="5" t="inlineStr">
        <is>
          <t>COGS</t>
        </is>
      </c>
      <c r="C125" s="5" t="inlineStr">
        <is>
          <t>Fictional demo</t>
        </is>
      </c>
      <c r="D125" s="5" t="inlineStr">
        <is>
          <t>Bundled Apex demonstration dataset</t>
        </is>
      </c>
      <c r="E125" s="5" t="inlineStr">
        <is>
          <t>2026-09-28T18:50:27+00:00</t>
        </is>
      </c>
    </row>
    <row r="126" ht="35" customHeight="1">
      <c r="A126" s="12" t="n">
        <v>2024</v>
      </c>
      <c r="B126" s="4" t="inlineStr">
        <is>
          <t>Gross Profit</t>
        </is>
      </c>
      <c r="C126" s="4" t="inlineStr">
        <is>
          <t>Fictional demo</t>
        </is>
      </c>
      <c r="D126" s="4" t="inlineStr">
        <is>
          <t>Bundled Apex demonstration dataset</t>
        </is>
      </c>
      <c r="E126" s="4" t="inlineStr">
        <is>
          <t>2026-09-28T18:50:27+00:00</t>
        </is>
      </c>
    </row>
    <row r="127" ht="35" customHeight="1">
      <c r="A127" s="13" t="n">
        <v>2024</v>
      </c>
      <c r="B127" s="5" t="inlineStr">
        <is>
          <t>Operating Expenses</t>
        </is>
      </c>
      <c r="C127" s="5" t="inlineStr">
        <is>
          <t>Fictional demo</t>
        </is>
      </c>
      <c r="D127" s="5" t="inlineStr">
        <is>
          <t>Bundled Apex demonstration dataset</t>
        </is>
      </c>
      <c r="E127" s="5" t="inlineStr">
        <is>
          <t>2026-09-28T18:50:27+00:00</t>
        </is>
      </c>
    </row>
    <row r="128" ht="35" customHeight="1">
      <c r="A128" s="12" t="n">
        <v>2024</v>
      </c>
      <c r="B128" s="4" t="inlineStr">
        <is>
          <t>EBITDA</t>
        </is>
      </c>
      <c r="C128" s="4" t="inlineStr">
        <is>
          <t>Fictional demo</t>
        </is>
      </c>
      <c r="D128" s="4" t="inlineStr">
        <is>
          <t>Bundled Apex demonstration dataset</t>
        </is>
      </c>
      <c r="E128" s="4" t="inlineStr">
        <is>
          <t>2026-09-28T18:50:27+00:00</t>
        </is>
      </c>
    </row>
    <row r="129" ht="35" customHeight="1">
      <c r="A129" s="13" t="n">
        <v>2024</v>
      </c>
      <c r="B129" s="5" t="inlineStr">
        <is>
          <t>Depreciation</t>
        </is>
      </c>
      <c r="C129" s="5" t="inlineStr">
        <is>
          <t>Fictional demo</t>
        </is>
      </c>
      <c r="D129" s="5" t="inlineStr">
        <is>
          <t>Bundled Apex demonstration dataset</t>
        </is>
      </c>
      <c r="E129" s="5" t="inlineStr">
        <is>
          <t>2026-09-28T18:50:27+00:00</t>
        </is>
      </c>
    </row>
    <row r="130" ht="35" customHeight="1">
      <c r="A130" s="12" t="n">
        <v>2024</v>
      </c>
      <c r="B130" s="4" t="inlineStr">
        <is>
          <t>EBIT</t>
        </is>
      </c>
      <c r="C130" s="4" t="inlineStr">
        <is>
          <t>Fictional demo</t>
        </is>
      </c>
      <c r="D130" s="4" t="inlineStr">
        <is>
          <t>Bundled Apex demonstration dataset</t>
        </is>
      </c>
      <c r="E130" s="4" t="inlineStr">
        <is>
          <t>2026-09-28T18:50:27+00:00</t>
        </is>
      </c>
    </row>
    <row r="131" ht="35" customHeight="1">
      <c r="A131" s="13" t="n">
        <v>2024</v>
      </c>
      <c r="B131" s="5" t="inlineStr">
        <is>
          <t>Interest Expense</t>
        </is>
      </c>
      <c r="C131" s="5" t="inlineStr">
        <is>
          <t>Fictional demo</t>
        </is>
      </c>
      <c r="D131" s="5" t="inlineStr">
        <is>
          <t>Bundled Apex demonstration dataset</t>
        </is>
      </c>
      <c r="E131" s="5" t="inlineStr">
        <is>
          <t>2026-09-28T18:50:27+00:00</t>
        </is>
      </c>
    </row>
    <row r="132" ht="35" customHeight="1">
      <c r="A132" s="12" t="n">
        <v>2024</v>
      </c>
      <c r="B132" s="4" t="inlineStr">
        <is>
          <t>EBT</t>
        </is>
      </c>
      <c r="C132" s="4" t="inlineStr">
        <is>
          <t>Fictional demo</t>
        </is>
      </c>
      <c r="D132" s="4" t="inlineStr">
        <is>
          <t>Bundled Apex demonstration dataset</t>
        </is>
      </c>
      <c r="E132" s="4" t="inlineStr">
        <is>
          <t>2026-09-28T18:50:27+00:00</t>
        </is>
      </c>
    </row>
    <row r="133" ht="35" customHeight="1">
      <c r="A133" s="13" t="n">
        <v>2024</v>
      </c>
      <c r="B133" s="5" t="inlineStr">
        <is>
          <t>Tax Expense</t>
        </is>
      </c>
      <c r="C133" s="5" t="inlineStr">
        <is>
          <t>Fictional demo</t>
        </is>
      </c>
      <c r="D133" s="5" t="inlineStr">
        <is>
          <t>Bundled Apex demonstration dataset</t>
        </is>
      </c>
      <c r="E133" s="5" t="inlineStr">
        <is>
          <t>2026-09-28T18:50:27+00:00</t>
        </is>
      </c>
    </row>
    <row r="134" ht="35" customHeight="1">
      <c r="A134" s="12" t="n">
        <v>2024</v>
      </c>
      <c r="B134" s="4" t="inlineStr">
        <is>
          <t>Net Income</t>
        </is>
      </c>
      <c r="C134" s="4" t="inlineStr">
        <is>
          <t>Fictional demo</t>
        </is>
      </c>
      <c r="D134" s="4" t="inlineStr">
        <is>
          <t>Bundled Apex demonstration dataset</t>
        </is>
      </c>
      <c r="E134" s="4" t="inlineStr">
        <is>
          <t>2026-09-28T18:50:27+00:00</t>
        </is>
      </c>
    </row>
    <row r="135" ht="35" customHeight="1">
      <c r="A135" s="13" t="n">
        <v>2024</v>
      </c>
      <c r="B135" s="5" t="inlineStr">
        <is>
          <t>Cash</t>
        </is>
      </c>
      <c r="C135" s="5" t="inlineStr">
        <is>
          <t>Fictional demo</t>
        </is>
      </c>
      <c r="D135" s="5" t="inlineStr">
        <is>
          <t>Bundled Apex demonstration dataset</t>
        </is>
      </c>
      <c r="E135" s="5" t="inlineStr">
        <is>
          <t>2026-09-28T18:50:27+00:00</t>
        </is>
      </c>
    </row>
    <row r="136" ht="35" customHeight="1">
      <c r="A136" s="12" t="n">
        <v>2024</v>
      </c>
      <c r="B136" s="4" t="inlineStr">
        <is>
          <t>Accounts Receivable</t>
        </is>
      </c>
      <c r="C136" s="4" t="inlineStr">
        <is>
          <t>Fictional demo</t>
        </is>
      </c>
      <c r="D136" s="4" t="inlineStr">
        <is>
          <t>Bundled Apex demonstration dataset</t>
        </is>
      </c>
      <c r="E136" s="4" t="inlineStr">
        <is>
          <t>2026-09-28T18:50:27+00:00</t>
        </is>
      </c>
    </row>
    <row r="137" ht="35" customHeight="1">
      <c r="A137" s="13" t="n">
        <v>2024</v>
      </c>
      <c r="B137" s="5" t="inlineStr">
        <is>
          <t>Inventory</t>
        </is>
      </c>
      <c r="C137" s="5" t="inlineStr">
        <is>
          <t>Fictional demo</t>
        </is>
      </c>
      <c r="D137" s="5" t="inlineStr">
        <is>
          <t>Bundled Apex demonstration dataset</t>
        </is>
      </c>
      <c r="E137" s="5" t="inlineStr">
        <is>
          <t>2026-09-28T18:50:27+00:00</t>
        </is>
      </c>
    </row>
    <row r="138" ht="35" customHeight="1">
      <c r="A138" s="12" t="n">
        <v>2024</v>
      </c>
      <c r="B138" s="4" t="inlineStr">
        <is>
          <t>Other Current Assets</t>
        </is>
      </c>
      <c r="C138" s="4" t="inlineStr">
        <is>
          <t>Fictional demo</t>
        </is>
      </c>
      <c r="D138" s="4" t="inlineStr">
        <is>
          <t>Bundled Apex demonstration dataset</t>
        </is>
      </c>
      <c r="E138" s="4" t="inlineStr">
        <is>
          <t>2026-09-28T18:50:27+00:00</t>
        </is>
      </c>
    </row>
    <row r="139" ht="35" customHeight="1">
      <c r="A139" s="13" t="n">
        <v>2024</v>
      </c>
      <c r="B139" s="5" t="inlineStr">
        <is>
          <t>Total Current Assets</t>
        </is>
      </c>
      <c r="C139" s="5" t="inlineStr">
        <is>
          <t>Fictional demo</t>
        </is>
      </c>
      <c r="D139" s="5" t="inlineStr">
        <is>
          <t>Bundled Apex demonstration dataset</t>
        </is>
      </c>
      <c r="E139" s="5" t="inlineStr">
        <is>
          <t>2026-09-28T18:50:27+00:00</t>
        </is>
      </c>
    </row>
    <row r="140" ht="35" customHeight="1">
      <c r="A140" s="12" t="n">
        <v>2024</v>
      </c>
      <c r="B140" s="4" t="inlineStr">
        <is>
          <t>Property Plant Equipment</t>
        </is>
      </c>
      <c r="C140" s="4" t="inlineStr">
        <is>
          <t>Fictional demo</t>
        </is>
      </c>
      <c r="D140" s="4" t="inlineStr">
        <is>
          <t>Bundled Apex demonstration dataset</t>
        </is>
      </c>
      <c r="E140" s="4" t="inlineStr">
        <is>
          <t>2026-09-28T18:50:27+00:00</t>
        </is>
      </c>
    </row>
    <row r="141" ht="35" customHeight="1">
      <c r="A141" s="13" t="n">
        <v>2024</v>
      </c>
      <c r="B141" s="5" t="inlineStr">
        <is>
          <t>Other Non-Current Assets</t>
        </is>
      </c>
      <c r="C141" s="5" t="inlineStr">
        <is>
          <t>Fictional demo</t>
        </is>
      </c>
      <c r="D141" s="5" t="inlineStr">
        <is>
          <t>Bundled Apex demonstration dataset</t>
        </is>
      </c>
      <c r="E141" s="5" t="inlineStr">
        <is>
          <t>2026-09-28T18:50:27+00:00</t>
        </is>
      </c>
    </row>
    <row r="142" ht="35" customHeight="1">
      <c r="A142" s="12" t="n">
        <v>2024</v>
      </c>
      <c r="B142" s="4" t="inlineStr">
        <is>
          <t>Total Assets</t>
        </is>
      </c>
      <c r="C142" s="4" t="inlineStr">
        <is>
          <t>Fictional demo</t>
        </is>
      </c>
      <c r="D142" s="4" t="inlineStr">
        <is>
          <t>Bundled Apex demonstration dataset</t>
        </is>
      </c>
      <c r="E142" s="4" t="inlineStr">
        <is>
          <t>2026-09-28T18:50:27+00:00</t>
        </is>
      </c>
    </row>
    <row r="143" ht="35" customHeight="1">
      <c r="A143" s="13" t="n">
        <v>2024</v>
      </c>
      <c r="B143" s="5" t="inlineStr">
        <is>
          <t>Accounts Payable</t>
        </is>
      </c>
      <c r="C143" s="5" t="inlineStr">
        <is>
          <t>Fictional demo</t>
        </is>
      </c>
      <c r="D143" s="5" t="inlineStr">
        <is>
          <t>Bundled Apex demonstration dataset</t>
        </is>
      </c>
      <c r="E143" s="5" t="inlineStr">
        <is>
          <t>2026-09-28T18:50:27+00:00</t>
        </is>
      </c>
    </row>
    <row r="144" ht="35" customHeight="1">
      <c r="A144" s="12" t="n">
        <v>2024</v>
      </c>
      <c r="B144" s="4" t="inlineStr">
        <is>
          <t>Short-Term Debt</t>
        </is>
      </c>
      <c r="C144" s="4" t="inlineStr">
        <is>
          <t>Fictional demo</t>
        </is>
      </c>
      <c r="D144" s="4" t="inlineStr">
        <is>
          <t>Bundled Apex demonstration dataset</t>
        </is>
      </c>
      <c r="E144" s="4" t="inlineStr">
        <is>
          <t>2026-09-28T18:50:27+00:00</t>
        </is>
      </c>
    </row>
    <row r="145" ht="35" customHeight="1">
      <c r="A145" s="13" t="n">
        <v>2024</v>
      </c>
      <c r="B145" s="5" t="inlineStr">
        <is>
          <t>Other Current Liabilities</t>
        </is>
      </c>
      <c r="C145" s="5" t="inlineStr">
        <is>
          <t>Fictional demo</t>
        </is>
      </c>
      <c r="D145" s="5" t="inlineStr">
        <is>
          <t>Bundled Apex demonstration dataset</t>
        </is>
      </c>
      <c r="E145" s="5" t="inlineStr">
        <is>
          <t>2026-09-28T18:50:27+00:00</t>
        </is>
      </c>
    </row>
    <row r="146" ht="35" customHeight="1">
      <c r="A146" s="12" t="n">
        <v>2024</v>
      </c>
      <c r="B146" s="4" t="inlineStr">
        <is>
          <t>Total Current Liabilities</t>
        </is>
      </c>
      <c r="C146" s="4" t="inlineStr">
        <is>
          <t>Fictional demo</t>
        </is>
      </c>
      <c r="D146" s="4" t="inlineStr">
        <is>
          <t>Bundled Apex demonstration dataset</t>
        </is>
      </c>
      <c r="E146" s="4" t="inlineStr">
        <is>
          <t>2026-09-28T18:50:27+00:00</t>
        </is>
      </c>
    </row>
    <row r="147" ht="35" customHeight="1">
      <c r="A147" s="13" t="n">
        <v>2024</v>
      </c>
      <c r="B147" s="5" t="inlineStr">
        <is>
          <t>Long-Term Debt</t>
        </is>
      </c>
      <c r="C147" s="5" t="inlineStr">
        <is>
          <t>Fictional demo</t>
        </is>
      </c>
      <c r="D147" s="5" t="inlineStr">
        <is>
          <t>Bundled Apex demonstration dataset</t>
        </is>
      </c>
      <c r="E147" s="5" t="inlineStr">
        <is>
          <t>2026-09-28T18:50:27+00:00</t>
        </is>
      </c>
    </row>
    <row r="148" ht="35" customHeight="1">
      <c r="A148" s="12" t="n">
        <v>2024</v>
      </c>
      <c r="B148" s="4" t="inlineStr">
        <is>
          <t>Other Non-Current Liabilities</t>
        </is>
      </c>
      <c r="C148" s="4" t="inlineStr">
        <is>
          <t>Fictional demo</t>
        </is>
      </c>
      <c r="D148" s="4" t="inlineStr">
        <is>
          <t>Bundled Apex demonstration dataset</t>
        </is>
      </c>
      <c r="E148" s="4" t="inlineStr">
        <is>
          <t>2026-09-28T18:50:27+00:00</t>
        </is>
      </c>
    </row>
    <row r="149" ht="35" customHeight="1">
      <c r="A149" s="13" t="n">
        <v>2024</v>
      </c>
      <c r="B149" s="5" t="inlineStr">
        <is>
          <t>Total Liabilities</t>
        </is>
      </c>
      <c r="C149" s="5" t="inlineStr">
        <is>
          <t>Fictional demo</t>
        </is>
      </c>
      <c r="D149" s="5" t="inlineStr">
        <is>
          <t>Bundled Apex demonstration dataset</t>
        </is>
      </c>
      <c r="E149" s="5" t="inlineStr">
        <is>
          <t>2026-09-28T18:50:27+00:00</t>
        </is>
      </c>
    </row>
    <row r="150" ht="35" customHeight="1">
      <c r="A150" s="12" t="n">
        <v>2024</v>
      </c>
      <c r="B150" s="4" t="inlineStr">
        <is>
          <t>Shareholders Equity</t>
        </is>
      </c>
      <c r="C150" s="4" t="inlineStr">
        <is>
          <t>Fictional demo</t>
        </is>
      </c>
      <c r="D150" s="4" t="inlineStr">
        <is>
          <t>Bundled Apex demonstration dataset</t>
        </is>
      </c>
      <c r="E150" s="4" t="inlineStr">
        <is>
          <t>2026-09-28T18:50:27+00:00</t>
        </is>
      </c>
    </row>
    <row r="151" ht="35" customHeight="1">
      <c r="A151" s="13" t="n">
        <v>2024</v>
      </c>
      <c r="B151" s="5" t="inlineStr">
        <is>
          <t>Operating Cash Flow</t>
        </is>
      </c>
      <c r="C151" s="5" t="inlineStr">
        <is>
          <t>Fictional demo</t>
        </is>
      </c>
      <c r="D151" s="5" t="inlineStr">
        <is>
          <t>Bundled Apex demonstration dataset</t>
        </is>
      </c>
      <c r="E151" s="5" t="inlineStr">
        <is>
          <t>2026-09-28T18:50:27+00:00</t>
        </is>
      </c>
    </row>
    <row r="152" ht="35" customHeight="1">
      <c r="A152" s="12" t="n">
        <v>2024</v>
      </c>
      <c r="B152" s="4" t="inlineStr">
        <is>
          <t>Capital Expenditure</t>
        </is>
      </c>
      <c r="C152" s="4" t="inlineStr">
        <is>
          <t>Fictional demo</t>
        </is>
      </c>
      <c r="D152" s="4" t="inlineStr">
        <is>
          <t>Bundled Apex demonstration dataset</t>
        </is>
      </c>
      <c r="E152" s="4" t="inlineStr">
        <is>
          <t>2026-09-28T18:50:27+00:00</t>
        </is>
      </c>
    </row>
    <row r="153" ht="35" customHeight="1">
      <c r="A153" s="13" t="n">
        <v>2024</v>
      </c>
      <c r="B153" s="5" t="inlineStr">
        <is>
          <t>Investing Cash Flow</t>
        </is>
      </c>
      <c r="C153" s="5" t="inlineStr">
        <is>
          <t>Fictional demo</t>
        </is>
      </c>
      <c r="D153" s="5" t="inlineStr">
        <is>
          <t>Bundled Apex demonstration dataset</t>
        </is>
      </c>
      <c r="E153" s="5" t="inlineStr">
        <is>
          <t>2026-09-28T18:50:27+00:00</t>
        </is>
      </c>
    </row>
    <row r="154" ht="35" customHeight="1">
      <c r="A154" s="12" t="n">
        <v>2024</v>
      </c>
      <c r="B154" s="4" t="inlineStr">
        <is>
          <t>Financing Cash Flow</t>
        </is>
      </c>
      <c r="C154" s="4" t="inlineStr">
        <is>
          <t>Fictional demo</t>
        </is>
      </c>
      <c r="D154" s="4" t="inlineStr">
        <is>
          <t>Bundled Apex demonstration dataset</t>
        </is>
      </c>
      <c r="E154" s="4" t="inlineStr">
        <is>
          <t>2026-09-28T18:50:27+00:00</t>
        </is>
      </c>
    </row>
    <row r="155" ht="35" customHeight="1">
      <c r="A155" s="13" t="n">
        <v>2024</v>
      </c>
      <c r="B155" s="5" t="inlineStr">
        <is>
          <t>Cash Dividends</t>
        </is>
      </c>
      <c r="C155" s="5" t="inlineStr">
        <is>
          <t>Fictional demo</t>
        </is>
      </c>
      <c r="D155" s="5" t="inlineStr">
        <is>
          <t>Bundled Apex demonstration dataset</t>
        </is>
      </c>
      <c r="E155" s="5" t="inlineStr">
        <is>
          <t>2026-09-28T18:50:27+00:00</t>
        </is>
      </c>
    </row>
    <row r="156" ht="35" customHeight="1">
      <c r="A156" s="12" t="n">
        <v>2024</v>
      </c>
      <c r="B156" s="4" t="inlineStr">
        <is>
          <t>Shares Outstanding</t>
        </is>
      </c>
      <c r="C156" s="4" t="inlineStr">
        <is>
          <t>Fictional demo</t>
        </is>
      </c>
      <c r="D156" s="4" t="inlineStr">
        <is>
          <t>Bundled Apex demonstration dataset</t>
        </is>
      </c>
      <c r="E156" s="4" t="inlineStr">
        <is>
          <t>2026-09-28T18:50:27+00:00</t>
        </is>
      </c>
    </row>
    <row r="157" ht="35" customHeight="1">
      <c r="A157" s="13" t="n">
        <v>2024</v>
      </c>
      <c r="B157" s="5" t="inlineStr">
        <is>
          <t>Weighted Average Shares Outstanding</t>
        </is>
      </c>
      <c r="C157" s="5" t="inlineStr">
        <is>
          <t>Fictional demo</t>
        </is>
      </c>
      <c r="D157" s="5" t="inlineStr">
        <is>
          <t>Bundled Apex demonstration dataset</t>
        </is>
      </c>
      <c r="E157" s="5" t="inlineStr">
        <is>
          <t>2026-09-28T18:50:27+00:00</t>
        </is>
      </c>
    </row>
    <row r="158" ht="35" customHeight="1">
      <c r="A158" s="12" t="n">
        <v>2024</v>
      </c>
      <c r="B158" s="4" t="inlineStr">
        <is>
          <t>Market Price Per Share</t>
        </is>
      </c>
      <c r="C158" s="4" t="inlineStr">
        <is>
          <t>Fictional demo</t>
        </is>
      </c>
      <c r="D158" s="4" t="inlineStr">
        <is>
          <t>Bundled Apex demonstration dataset</t>
        </is>
      </c>
      <c r="E158" s="4" t="inlineStr">
        <is>
          <t>2026-09-28T18:50:27+00:00</t>
        </is>
      </c>
    </row>
    <row r="159" ht="35" customHeight="1">
      <c r="A159" s="13" t="n">
        <v>2024</v>
      </c>
      <c r="B159" s="5" t="inlineStr">
        <is>
          <t>Preferred Dividends</t>
        </is>
      </c>
      <c r="C159" s="5" t="inlineStr">
        <is>
          <t>Fictional demo</t>
        </is>
      </c>
      <c r="D159" s="5" t="inlineStr">
        <is>
          <t>Bundled Apex demonstration dataset</t>
        </is>
      </c>
      <c r="E159" s="5" t="inlineStr">
        <is>
          <t>2026-09-28T18:50:27+00:00</t>
        </is>
      </c>
    </row>
    <row r="160" ht="35" customHeight="1">
      <c r="A160" s="12" t="n">
        <v>2024</v>
      </c>
      <c r="B160" s="4" t="inlineStr">
        <is>
          <t>Retained Earnings</t>
        </is>
      </c>
      <c r="C160" s="4" t="inlineStr">
        <is>
          <t>Fictional demo</t>
        </is>
      </c>
      <c r="D160" s="4" t="inlineStr">
        <is>
          <t>Bundled Apex demonstration dataset</t>
        </is>
      </c>
      <c r="E160" s="4" t="inlineStr">
        <is>
          <t>2026-09-28T18:50:27+00:00</t>
        </is>
      </c>
    </row>
    <row r="161" ht="35" customHeight="1">
      <c r="A161" s="13" t="n">
        <v>2024</v>
      </c>
      <c r="B161" s="5" t="inlineStr">
        <is>
          <t>Cash Interest Paid</t>
        </is>
      </c>
      <c r="C161" s="5" t="inlineStr">
        <is>
          <t>Fictional demo</t>
        </is>
      </c>
      <c r="D161" s="5" t="inlineStr">
        <is>
          <t>Bundled Apex demonstration dataset</t>
        </is>
      </c>
      <c r="E161" s="5" t="inlineStr">
        <is>
          <t>2026-09-28T18:50:27+00:00</t>
        </is>
      </c>
    </row>
    <row r="162" ht="35" customHeight="1">
      <c r="A162" s="12" t="n">
        <v>2024</v>
      </c>
      <c r="B162" s="4" t="inlineStr">
        <is>
          <t>Cash Taxes Paid</t>
        </is>
      </c>
      <c r="C162" s="4" t="inlineStr">
        <is>
          <t>Fictional demo</t>
        </is>
      </c>
      <c r="D162" s="4" t="inlineStr">
        <is>
          <t>Bundled Apex demonstration dataset</t>
        </is>
      </c>
      <c r="E162" s="4" t="inlineStr">
        <is>
          <t>2026-09-28T18:50:27+00:00</t>
        </is>
      </c>
    </row>
    <row r="163" ht="35" customHeight="1">
      <c r="A163" s="13" t="n">
        <v>2024</v>
      </c>
      <c r="B163" s="5" t="inlineStr">
        <is>
          <t>FX Effect on Cash</t>
        </is>
      </c>
      <c r="C163" s="5" t="inlineStr">
        <is>
          <t>Fictional demo</t>
        </is>
      </c>
      <c r="D163" s="5" t="inlineStr">
        <is>
          <t>Bundled Apex demonstration dataset</t>
        </is>
      </c>
      <c r="E163" s="5" t="inlineStr">
        <is>
          <t>2026-09-28T18:50:27+00:00</t>
        </is>
      </c>
    </row>
    <row r="164" ht="35" customHeight="1">
      <c r="A164" s="12" t="n">
        <v>2025</v>
      </c>
      <c r="B164" s="4" t="inlineStr">
        <is>
          <t>Revenue</t>
        </is>
      </c>
      <c r="C164" s="4" t="inlineStr">
        <is>
          <t>Fictional demo</t>
        </is>
      </c>
      <c r="D164" s="4" t="inlineStr">
        <is>
          <t>Bundled Apex demonstration dataset</t>
        </is>
      </c>
      <c r="E164" s="4" t="inlineStr">
        <is>
          <t>2026-09-28T18:50:27+00:00</t>
        </is>
      </c>
    </row>
    <row r="165" ht="35" customHeight="1">
      <c r="A165" s="13" t="n">
        <v>2025</v>
      </c>
      <c r="B165" s="5" t="inlineStr">
        <is>
          <t>COGS</t>
        </is>
      </c>
      <c r="C165" s="5" t="inlineStr">
        <is>
          <t>Fictional demo</t>
        </is>
      </c>
      <c r="D165" s="5" t="inlineStr">
        <is>
          <t>Bundled Apex demonstration dataset</t>
        </is>
      </c>
      <c r="E165" s="5" t="inlineStr">
        <is>
          <t>2026-09-28T18:50:27+00:00</t>
        </is>
      </c>
    </row>
    <row r="166" ht="35" customHeight="1">
      <c r="A166" s="12" t="n">
        <v>2025</v>
      </c>
      <c r="B166" s="4" t="inlineStr">
        <is>
          <t>Gross Profit</t>
        </is>
      </c>
      <c r="C166" s="4" t="inlineStr">
        <is>
          <t>Fictional demo</t>
        </is>
      </c>
      <c r="D166" s="4" t="inlineStr">
        <is>
          <t>Bundled Apex demonstration dataset</t>
        </is>
      </c>
      <c r="E166" s="4" t="inlineStr">
        <is>
          <t>2026-09-28T18:50:27+00:00</t>
        </is>
      </c>
    </row>
    <row r="167" ht="35" customHeight="1">
      <c r="A167" s="13" t="n">
        <v>2025</v>
      </c>
      <c r="B167" s="5" t="inlineStr">
        <is>
          <t>Operating Expenses</t>
        </is>
      </c>
      <c r="C167" s="5" t="inlineStr">
        <is>
          <t>Fictional demo</t>
        </is>
      </c>
      <c r="D167" s="5" t="inlineStr">
        <is>
          <t>Bundled Apex demonstration dataset</t>
        </is>
      </c>
      <c r="E167" s="5" t="inlineStr">
        <is>
          <t>2026-09-28T18:50:27+00:00</t>
        </is>
      </c>
    </row>
    <row r="168" ht="35" customHeight="1">
      <c r="A168" s="12" t="n">
        <v>2025</v>
      </c>
      <c r="B168" s="4" t="inlineStr">
        <is>
          <t>EBITDA</t>
        </is>
      </c>
      <c r="C168" s="4" t="inlineStr">
        <is>
          <t>Fictional demo</t>
        </is>
      </c>
      <c r="D168" s="4" t="inlineStr">
        <is>
          <t>Bundled Apex demonstration dataset</t>
        </is>
      </c>
      <c r="E168" s="4" t="inlineStr">
        <is>
          <t>2026-09-28T18:50:27+00:00</t>
        </is>
      </c>
    </row>
    <row r="169" ht="35" customHeight="1">
      <c r="A169" s="13" t="n">
        <v>2025</v>
      </c>
      <c r="B169" s="5" t="inlineStr">
        <is>
          <t>Depreciation</t>
        </is>
      </c>
      <c r="C169" s="5" t="inlineStr">
        <is>
          <t>Fictional demo</t>
        </is>
      </c>
      <c r="D169" s="5" t="inlineStr">
        <is>
          <t>Bundled Apex demonstration dataset</t>
        </is>
      </c>
      <c r="E169" s="5" t="inlineStr">
        <is>
          <t>2026-09-28T18:50:27+00:00</t>
        </is>
      </c>
    </row>
    <row r="170" ht="35" customHeight="1">
      <c r="A170" s="12" t="n">
        <v>2025</v>
      </c>
      <c r="B170" s="4" t="inlineStr">
        <is>
          <t>EBIT</t>
        </is>
      </c>
      <c r="C170" s="4" t="inlineStr">
        <is>
          <t>Fictional demo</t>
        </is>
      </c>
      <c r="D170" s="4" t="inlineStr">
        <is>
          <t>Bundled Apex demonstration dataset</t>
        </is>
      </c>
      <c r="E170" s="4" t="inlineStr">
        <is>
          <t>2026-09-28T18:50:27+00:00</t>
        </is>
      </c>
    </row>
    <row r="171" ht="35" customHeight="1">
      <c r="A171" s="13" t="n">
        <v>2025</v>
      </c>
      <c r="B171" s="5" t="inlineStr">
        <is>
          <t>Interest Expense</t>
        </is>
      </c>
      <c r="C171" s="5" t="inlineStr">
        <is>
          <t>Fictional demo</t>
        </is>
      </c>
      <c r="D171" s="5" t="inlineStr">
        <is>
          <t>Bundled Apex demonstration dataset</t>
        </is>
      </c>
      <c r="E171" s="5" t="inlineStr">
        <is>
          <t>2026-09-28T18:50:27+00:00</t>
        </is>
      </c>
    </row>
    <row r="172" ht="35" customHeight="1">
      <c r="A172" s="12" t="n">
        <v>2025</v>
      </c>
      <c r="B172" s="4" t="inlineStr">
        <is>
          <t>EBT</t>
        </is>
      </c>
      <c r="C172" s="4" t="inlineStr">
        <is>
          <t>Fictional demo</t>
        </is>
      </c>
      <c r="D172" s="4" t="inlineStr">
        <is>
          <t>Bundled Apex demonstration dataset</t>
        </is>
      </c>
      <c r="E172" s="4" t="inlineStr">
        <is>
          <t>2026-09-28T18:50:27+00:00</t>
        </is>
      </c>
    </row>
    <row r="173" ht="35" customHeight="1">
      <c r="A173" s="13" t="n">
        <v>2025</v>
      </c>
      <c r="B173" s="5" t="inlineStr">
        <is>
          <t>Tax Expense</t>
        </is>
      </c>
      <c r="C173" s="5" t="inlineStr">
        <is>
          <t>Fictional demo</t>
        </is>
      </c>
      <c r="D173" s="5" t="inlineStr">
        <is>
          <t>Bundled Apex demonstration dataset</t>
        </is>
      </c>
      <c r="E173" s="5" t="inlineStr">
        <is>
          <t>2026-09-28T18:50:27+00:00</t>
        </is>
      </c>
    </row>
    <row r="174" ht="35" customHeight="1">
      <c r="A174" s="12" t="n">
        <v>2025</v>
      </c>
      <c r="B174" s="4" t="inlineStr">
        <is>
          <t>Net Income</t>
        </is>
      </c>
      <c r="C174" s="4" t="inlineStr">
        <is>
          <t>Fictional demo</t>
        </is>
      </c>
      <c r="D174" s="4" t="inlineStr">
        <is>
          <t>Bundled Apex demonstration dataset</t>
        </is>
      </c>
      <c r="E174" s="4" t="inlineStr">
        <is>
          <t>2026-09-28T18:50:27+00:00</t>
        </is>
      </c>
    </row>
    <row r="175" ht="35" customHeight="1">
      <c r="A175" s="13" t="n">
        <v>2025</v>
      </c>
      <c r="B175" s="5" t="inlineStr">
        <is>
          <t>Cash</t>
        </is>
      </c>
      <c r="C175" s="5" t="inlineStr">
        <is>
          <t>Fictional demo</t>
        </is>
      </c>
      <c r="D175" s="5" t="inlineStr">
        <is>
          <t>Bundled Apex demonstration dataset</t>
        </is>
      </c>
      <c r="E175" s="5" t="inlineStr">
        <is>
          <t>2026-09-28T18:50:27+00:00</t>
        </is>
      </c>
    </row>
    <row r="176" ht="35" customHeight="1">
      <c r="A176" s="12" t="n">
        <v>2025</v>
      </c>
      <c r="B176" s="4" t="inlineStr">
        <is>
          <t>Accounts Receivable</t>
        </is>
      </c>
      <c r="C176" s="4" t="inlineStr">
        <is>
          <t>Fictional demo</t>
        </is>
      </c>
      <c r="D176" s="4" t="inlineStr">
        <is>
          <t>Bundled Apex demonstration dataset</t>
        </is>
      </c>
      <c r="E176" s="4" t="inlineStr">
        <is>
          <t>2026-09-28T18:50:27+00:00</t>
        </is>
      </c>
    </row>
    <row r="177" ht="35" customHeight="1">
      <c r="A177" s="13" t="n">
        <v>2025</v>
      </c>
      <c r="B177" s="5" t="inlineStr">
        <is>
          <t>Inventory</t>
        </is>
      </c>
      <c r="C177" s="5" t="inlineStr">
        <is>
          <t>Fictional demo</t>
        </is>
      </c>
      <c r="D177" s="5" t="inlineStr">
        <is>
          <t>Bundled Apex demonstration dataset</t>
        </is>
      </c>
      <c r="E177" s="5" t="inlineStr">
        <is>
          <t>2026-09-28T18:50:27+00:00</t>
        </is>
      </c>
    </row>
    <row r="178" ht="35" customHeight="1">
      <c r="A178" s="12" t="n">
        <v>2025</v>
      </c>
      <c r="B178" s="4" t="inlineStr">
        <is>
          <t>Other Current Assets</t>
        </is>
      </c>
      <c r="C178" s="4" t="inlineStr">
        <is>
          <t>Fictional demo</t>
        </is>
      </c>
      <c r="D178" s="4" t="inlineStr">
        <is>
          <t>Bundled Apex demonstration dataset</t>
        </is>
      </c>
      <c r="E178" s="4" t="inlineStr">
        <is>
          <t>2026-09-28T18:50:27+00:00</t>
        </is>
      </c>
    </row>
    <row r="179" ht="35" customHeight="1">
      <c r="A179" s="13" t="n">
        <v>2025</v>
      </c>
      <c r="B179" s="5" t="inlineStr">
        <is>
          <t>Total Current Assets</t>
        </is>
      </c>
      <c r="C179" s="5" t="inlineStr">
        <is>
          <t>Fictional demo</t>
        </is>
      </c>
      <c r="D179" s="5" t="inlineStr">
        <is>
          <t>Bundled Apex demonstration dataset</t>
        </is>
      </c>
      <c r="E179" s="5" t="inlineStr">
        <is>
          <t>2026-09-28T18:50:27+00:00</t>
        </is>
      </c>
    </row>
    <row r="180" ht="35" customHeight="1">
      <c r="A180" s="12" t="n">
        <v>2025</v>
      </c>
      <c r="B180" s="4" t="inlineStr">
        <is>
          <t>Property Plant Equipment</t>
        </is>
      </c>
      <c r="C180" s="4" t="inlineStr">
        <is>
          <t>Fictional demo</t>
        </is>
      </c>
      <c r="D180" s="4" t="inlineStr">
        <is>
          <t>Bundled Apex demonstration dataset</t>
        </is>
      </c>
      <c r="E180" s="4" t="inlineStr">
        <is>
          <t>2026-09-28T18:50:27+00:00</t>
        </is>
      </c>
    </row>
    <row r="181" ht="35" customHeight="1">
      <c r="A181" s="13" t="n">
        <v>2025</v>
      </c>
      <c r="B181" s="5" t="inlineStr">
        <is>
          <t>Other Non-Current Assets</t>
        </is>
      </c>
      <c r="C181" s="5" t="inlineStr">
        <is>
          <t>Fictional demo</t>
        </is>
      </c>
      <c r="D181" s="5" t="inlineStr">
        <is>
          <t>Bundled Apex demonstration dataset</t>
        </is>
      </c>
      <c r="E181" s="5" t="inlineStr">
        <is>
          <t>2026-09-28T18:50:27+00:00</t>
        </is>
      </c>
    </row>
    <row r="182" ht="35" customHeight="1">
      <c r="A182" s="12" t="n">
        <v>2025</v>
      </c>
      <c r="B182" s="4" t="inlineStr">
        <is>
          <t>Total Assets</t>
        </is>
      </c>
      <c r="C182" s="4" t="inlineStr">
        <is>
          <t>Fictional demo</t>
        </is>
      </c>
      <c r="D182" s="4" t="inlineStr">
        <is>
          <t>Bundled Apex demonstration dataset</t>
        </is>
      </c>
      <c r="E182" s="4" t="inlineStr">
        <is>
          <t>2026-09-28T18:50:27+00:00</t>
        </is>
      </c>
    </row>
    <row r="183" ht="35" customHeight="1">
      <c r="A183" s="13" t="n">
        <v>2025</v>
      </c>
      <c r="B183" s="5" t="inlineStr">
        <is>
          <t>Accounts Payable</t>
        </is>
      </c>
      <c r="C183" s="5" t="inlineStr">
        <is>
          <t>Fictional demo</t>
        </is>
      </c>
      <c r="D183" s="5" t="inlineStr">
        <is>
          <t>Bundled Apex demonstration dataset</t>
        </is>
      </c>
      <c r="E183" s="5" t="inlineStr">
        <is>
          <t>2026-09-28T18:50:27+00:00</t>
        </is>
      </c>
    </row>
    <row r="184" ht="35" customHeight="1">
      <c r="A184" s="12" t="n">
        <v>2025</v>
      </c>
      <c r="B184" s="4" t="inlineStr">
        <is>
          <t>Short-Term Debt</t>
        </is>
      </c>
      <c r="C184" s="4" t="inlineStr">
        <is>
          <t>Fictional demo</t>
        </is>
      </c>
      <c r="D184" s="4" t="inlineStr">
        <is>
          <t>Bundled Apex demonstration dataset</t>
        </is>
      </c>
      <c r="E184" s="4" t="inlineStr">
        <is>
          <t>2026-09-28T18:50:27+00:00</t>
        </is>
      </c>
    </row>
    <row r="185" ht="35" customHeight="1">
      <c r="A185" s="13" t="n">
        <v>2025</v>
      </c>
      <c r="B185" s="5" t="inlineStr">
        <is>
          <t>Other Current Liabilities</t>
        </is>
      </c>
      <c r="C185" s="5" t="inlineStr">
        <is>
          <t>Fictional demo</t>
        </is>
      </c>
      <c r="D185" s="5" t="inlineStr">
        <is>
          <t>Bundled Apex demonstration dataset</t>
        </is>
      </c>
      <c r="E185" s="5" t="inlineStr">
        <is>
          <t>2026-09-28T18:50:27+00:00</t>
        </is>
      </c>
    </row>
    <row r="186" ht="35" customHeight="1">
      <c r="A186" s="12" t="n">
        <v>2025</v>
      </c>
      <c r="B186" s="4" t="inlineStr">
        <is>
          <t>Total Current Liabilities</t>
        </is>
      </c>
      <c r="C186" s="4" t="inlineStr">
        <is>
          <t>Fictional demo</t>
        </is>
      </c>
      <c r="D186" s="4" t="inlineStr">
        <is>
          <t>Bundled Apex demonstration dataset</t>
        </is>
      </c>
      <c r="E186" s="4" t="inlineStr">
        <is>
          <t>2026-09-28T18:50:27+00:00</t>
        </is>
      </c>
    </row>
    <row r="187" ht="35" customHeight="1">
      <c r="A187" s="13" t="n">
        <v>2025</v>
      </c>
      <c r="B187" s="5" t="inlineStr">
        <is>
          <t>Long-Term Debt</t>
        </is>
      </c>
      <c r="C187" s="5" t="inlineStr">
        <is>
          <t>Fictional demo</t>
        </is>
      </c>
      <c r="D187" s="5" t="inlineStr">
        <is>
          <t>Bundled Apex demonstration dataset</t>
        </is>
      </c>
      <c r="E187" s="5" t="inlineStr">
        <is>
          <t>2026-09-28T18:50:27+00:00</t>
        </is>
      </c>
    </row>
    <row r="188" ht="35" customHeight="1">
      <c r="A188" s="12" t="n">
        <v>2025</v>
      </c>
      <c r="B188" s="4" t="inlineStr">
        <is>
          <t>Other Non-Current Liabilities</t>
        </is>
      </c>
      <c r="C188" s="4" t="inlineStr">
        <is>
          <t>Fictional demo</t>
        </is>
      </c>
      <c r="D188" s="4" t="inlineStr">
        <is>
          <t>Bundled Apex demonstration dataset</t>
        </is>
      </c>
      <c r="E188" s="4" t="inlineStr">
        <is>
          <t>2026-09-28T18:50:27+00:00</t>
        </is>
      </c>
    </row>
    <row r="189" ht="35" customHeight="1">
      <c r="A189" s="13" t="n">
        <v>2025</v>
      </c>
      <c r="B189" s="5" t="inlineStr">
        <is>
          <t>Total Liabilities</t>
        </is>
      </c>
      <c r="C189" s="5" t="inlineStr">
        <is>
          <t>Fictional demo</t>
        </is>
      </c>
      <c r="D189" s="5" t="inlineStr">
        <is>
          <t>Bundled Apex demonstration dataset</t>
        </is>
      </c>
      <c r="E189" s="5" t="inlineStr">
        <is>
          <t>2026-09-28T18:50:27+00:00</t>
        </is>
      </c>
    </row>
    <row r="190" ht="35" customHeight="1">
      <c r="A190" s="12" t="n">
        <v>2025</v>
      </c>
      <c r="B190" s="4" t="inlineStr">
        <is>
          <t>Shareholders Equity</t>
        </is>
      </c>
      <c r="C190" s="4" t="inlineStr">
        <is>
          <t>Fictional demo</t>
        </is>
      </c>
      <c r="D190" s="4" t="inlineStr">
        <is>
          <t>Bundled Apex demonstration dataset</t>
        </is>
      </c>
      <c r="E190" s="4" t="inlineStr">
        <is>
          <t>2026-09-28T18:50:27+00:00</t>
        </is>
      </c>
    </row>
    <row r="191" ht="35" customHeight="1">
      <c r="A191" s="13" t="n">
        <v>2025</v>
      </c>
      <c r="B191" s="5" t="inlineStr">
        <is>
          <t>Operating Cash Flow</t>
        </is>
      </c>
      <c r="C191" s="5" t="inlineStr">
        <is>
          <t>Fictional demo</t>
        </is>
      </c>
      <c r="D191" s="5" t="inlineStr">
        <is>
          <t>Bundled Apex demonstration dataset</t>
        </is>
      </c>
      <c r="E191" s="5" t="inlineStr">
        <is>
          <t>2026-09-28T18:50:27+00:00</t>
        </is>
      </c>
    </row>
    <row r="192" ht="35" customHeight="1">
      <c r="A192" s="12" t="n">
        <v>2025</v>
      </c>
      <c r="B192" s="4" t="inlineStr">
        <is>
          <t>Capital Expenditure</t>
        </is>
      </c>
      <c r="C192" s="4" t="inlineStr">
        <is>
          <t>Fictional demo</t>
        </is>
      </c>
      <c r="D192" s="4" t="inlineStr">
        <is>
          <t>Bundled Apex demonstration dataset</t>
        </is>
      </c>
      <c r="E192" s="4" t="inlineStr">
        <is>
          <t>2026-09-28T18:50:27+00:00</t>
        </is>
      </c>
    </row>
    <row r="193" ht="35" customHeight="1">
      <c r="A193" s="13" t="n">
        <v>2025</v>
      </c>
      <c r="B193" s="5" t="inlineStr">
        <is>
          <t>Investing Cash Flow</t>
        </is>
      </c>
      <c r="C193" s="5" t="inlineStr">
        <is>
          <t>Fictional demo</t>
        </is>
      </c>
      <c r="D193" s="5" t="inlineStr">
        <is>
          <t>Bundled Apex demonstration dataset</t>
        </is>
      </c>
      <c r="E193" s="5" t="inlineStr">
        <is>
          <t>2026-09-28T18:50:27+00:00</t>
        </is>
      </c>
    </row>
    <row r="194" ht="35" customHeight="1">
      <c r="A194" s="12" t="n">
        <v>2025</v>
      </c>
      <c r="B194" s="4" t="inlineStr">
        <is>
          <t>Financing Cash Flow</t>
        </is>
      </c>
      <c r="C194" s="4" t="inlineStr">
        <is>
          <t>Fictional demo</t>
        </is>
      </c>
      <c r="D194" s="4" t="inlineStr">
        <is>
          <t>Bundled Apex demonstration dataset</t>
        </is>
      </c>
      <c r="E194" s="4" t="inlineStr">
        <is>
          <t>2026-09-28T18:50:27+00:00</t>
        </is>
      </c>
    </row>
    <row r="195" ht="35" customHeight="1">
      <c r="A195" s="13" t="n">
        <v>2025</v>
      </c>
      <c r="B195" s="5" t="inlineStr">
        <is>
          <t>Cash Dividends</t>
        </is>
      </c>
      <c r="C195" s="5" t="inlineStr">
        <is>
          <t>Fictional demo</t>
        </is>
      </c>
      <c r="D195" s="5" t="inlineStr">
        <is>
          <t>Bundled Apex demonstration dataset</t>
        </is>
      </c>
      <c r="E195" s="5" t="inlineStr">
        <is>
          <t>2026-09-28T18:50:27+00:00</t>
        </is>
      </c>
    </row>
    <row r="196" ht="35" customHeight="1">
      <c r="A196" s="12" t="n">
        <v>2025</v>
      </c>
      <c r="B196" s="4" t="inlineStr">
        <is>
          <t>Shares Outstanding</t>
        </is>
      </c>
      <c r="C196" s="4" t="inlineStr">
        <is>
          <t>Fictional demo</t>
        </is>
      </c>
      <c r="D196" s="4" t="inlineStr">
        <is>
          <t>Bundled Apex demonstration dataset</t>
        </is>
      </c>
      <c r="E196" s="4" t="inlineStr">
        <is>
          <t>2026-09-28T18:50:27+00:00</t>
        </is>
      </c>
    </row>
    <row r="197" ht="35" customHeight="1">
      <c r="A197" s="13" t="n">
        <v>2025</v>
      </c>
      <c r="B197" s="5" t="inlineStr">
        <is>
          <t>Weighted Average Shares Outstanding</t>
        </is>
      </c>
      <c r="C197" s="5" t="inlineStr">
        <is>
          <t>Fictional demo</t>
        </is>
      </c>
      <c r="D197" s="5" t="inlineStr">
        <is>
          <t>Bundled Apex demonstration dataset</t>
        </is>
      </c>
      <c r="E197" s="5" t="inlineStr">
        <is>
          <t>2026-09-28T18:50:27+00:00</t>
        </is>
      </c>
    </row>
    <row r="198" ht="35" customHeight="1">
      <c r="A198" s="12" t="n">
        <v>2025</v>
      </c>
      <c r="B198" s="4" t="inlineStr">
        <is>
          <t>Market Price Per Share</t>
        </is>
      </c>
      <c r="C198" s="4" t="inlineStr">
        <is>
          <t>Fictional demo</t>
        </is>
      </c>
      <c r="D198" s="4" t="inlineStr">
        <is>
          <t>Bundled Apex demonstration dataset</t>
        </is>
      </c>
      <c r="E198" s="4" t="inlineStr">
        <is>
          <t>2026-09-28T18:50:27+00:00</t>
        </is>
      </c>
    </row>
    <row r="199" ht="35" customHeight="1">
      <c r="A199" s="13" t="n">
        <v>2025</v>
      </c>
      <c r="B199" s="5" t="inlineStr">
        <is>
          <t>Preferred Dividends</t>
        </is>
      </c>
      <c r="C199" s="5" t="inlineStr">
        <is>
          <t>Fictional demo</t>
        </is>
      </c>
      <c r="D199" s="5" t="inlineStr">
        <is>
          <t>Bundled Apex demonstration dataset</t>
        </is>
      </c>
      <c r="E199" s="5" t="inlineStr">
        <is>
          <t>2026-09-28T18:50:27+00:00</t>
        </is>
      </c>
    </row>
    <row r="200" ht="35" customHeight="1">
      <c r="A200" s="12" t="n">
        <v>2025</v>
      </c>
      <c r="B200" s="4" t="inlineStr">
        <is>
          <t>Retained Earnings</t>
        </is>
      </c>
      <c r="C200" s="4" t="inlineStr">
        <is>
          <t>Fictional demo</t>
        </is>
      </c>
      <c r="D200" s="4" t="inlineStr">
        <is>
          <t>Bundled Apex demonstration dataset</t>
        </is>
      </c>
      <c r="E200" s="4" t="inlineStr">
        <is>
          <t>2026-09-28T18:50:27+00:00</t>
        </is>
      </c>
    </row>
    <row r="201" ht="35" customHeight="1">
      <c r="A201" s="13" t="n">
        <v>2025</v>
      </c>
      <c r="B201" s="5" t="inlineStr">
        <is>
          <t>Cash Interest Paid</t>
        </is>
      </c>
      <c r="C201" s="5" t="inlineStr">
        <is>
          <t>Fictional demo</t>
        </is>
      </c>
      <c r="D201" s="5" t="inlineStr">
        <is>
          <t>Bundled Apex demonstration dataset</t>
        </is>
      </c>
      <c r="E201" s="5" t="inlineStr">
        <is>
          <t>2026-09-28T18:50:27+00:00</t>
        </is>
      </c>
    </row>
    <row r="202" ht="35" customHeight="1">
      <c r="A202" s="12" t="n">
        <v>2025</v>
      </c>
      <c r="B202" s="4" t="inlineStr">
        <is>
          <t>Cash Taxes Paid</t>
        </is>
      </c>
      <c r="C202" s="4" t="inlineStr">
        <is>
          <t>Fictional demo</t>
        </is>
      </c>
      <c r="D202" s="4" t="inlineStr">
        <is>
          <t>Bundled Apex demonstration dataset</t>
        </is>
      </c>
      <c r="E202" s="4" t="inlineStr">
        <is>
          <t>2026-09-28T18:50:27+00:00</t>
        </is>
      </c>
    </row>
    <row r="203" ht="35" customHeight="1">
      <c r="A203" s="13" t="n">
        <v>2025</v>
      </c>
      <c r="B203" s="5" t="inlineStr">
        <is>
          <t>FX Effect on Cash</t>
        </is>
      </c>
      <c r="C203" s="5" t="inlineStr">
        <is>
          <t>Fictional demo</t>
        </is>
      </c>
      <c r="D203" s="5" t="inlineStr">
        <is>
          <t>Bundled Apex demonstration dataset</t>
        </is>
      </c>
      <c r="E203" s="5" t="inlineStr">
        <is>
          <t>2026-09-28T18:50:27+00:00</t>
        </is>
      </c>
    </row>
  </sheetData>
  <autoFilter ref="A3:E203"/>
  <mergeCells count="2">
    <mergeCell ref="A2:E2"/>
    <mergeCell ref="A1:E1"/>
  </mergeCells>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B4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95" customWidth="1" min="2" max="2"/>
  </cols>
  <sheetData>
    <row r="1" ht="36" customHeight="1">
      <c r="A1" s="1" t="inlineStr">
        <is>
          <t>Methodology</t>
        </is>
      </c>
    </row>
    <row r="2" ht="38" customHeight="1">
      <c r="A2" s="2" t="inlineStr">
        <is>
          <t>Falcon Finalysis is an analytical and educational decision-support tool. Outputs depend on the accuracy and completeness of uploaded financial information. Results are not investment, lending, accounting, audit, tax, or legal advice.</t>
        </is>
      </c>
    </row>
    <row r="3" ht="32" customHeight="1">
      <c r="A3" s="3" t="inlineStr">
        <is>
          <t>Metric</t>
        </is>
      </c>
      <c r="B3" s="3" t="inlineStr">
        <is>
          <t>Formula</t>
        </is>
      </c>
    </row>
    <row r="4" ht="25" customHeight="1">
      <c r="A4" s="4" t="inlineStr">
        <is>
          <t>Current Ratio</t>
        </is>
      </c>
      <c r="B4" s="4" t="inlineStr">
        <is>
          <t>Current assets / current liabilities</t>
        </is>
      </c>
    </row>
    <row r="5" ht="25" customHeight="1">
      <c r="A5" s="5" t="inlineStr">
        <is>
          <t>Quick Ratio</t>
        </is>
      </c>
      <c r="B5" s="5" t="inlineStr">
        <is>
          <t>(Current assets - inventory) / current liabilities</t>
        </is>
      </c>
    </row>
    <row r="6" ht="25" customHeight="1">
      <c r="A6" s="4" t="inlineStr">
        <is>
          <t>Cash Ratio</t>
        </is>
      </c>
      <c r="B6" s="4" t="inlineStr">
        <is>
          <t>Cash / current liabilities</t>
        </is>
      </c>
    </row>
    <row r="7" ht="25" customHeight="1">
      <c r="A7" s="5" t="inlineStr">
        <is>
          <t>Operating Cash Flow Ratio</t>
        </is>
      </c>
      <c r="B7" s="5" t="inlineStr">
        <is>
          <t>Operating cash flow / current liabilities</t>
        </is>
      </c>
    </row>
    <row r="8" ht="25" customHeight="1">
      <c r="A8" s="4" t="inlineStr">
        <is>
          <t>Gross Profit Margin</t>
        </is>
      </c>
      <c r="B8" s="4" t="inlineStr">
        <is>
          <t>Gross Profit / revenue</t>
        </is>
      </c>
    </row>
    <row r="9" ht="25" customHeight="1">
      <c r="A9" s="5" t="inlineStr">
        <is>
          <t>Operating Margin</t>
        </is>
      </c>
      <c r="B9" s="5" t="inlineStr">
        <is>
          <t>EBIT / revenue</t>
        </is>
      </c>
    </row>
    <row r="10" ht="25" customHeight="1">
      <c r="A10" s="4" t="inlineStr">
        <is>
          <t>EBITDA Margin</t>
        </is>
      </c>
      <c r="B10" s="4" t="inlineStr">
        <is>
          <t>EBITDA / revenue</t>
        </is>
      </c>
    </row>
    <row r="11" ht="25" customHeight="1">
      <c r="A11" s="5" t="inlineStr">
        <is>
          <t>Net Profit Margin</t>
        </is>
      </c>
      <c r="B11" s="5" t="inlineStr">
        <is>
          <t>Net Income / revenue</t>
        </is>
      </c>
    </row>
    <row r="12" ht="25" customHeight="1">
      <c r="A12" s="4" t="inlineStr">
        <is>
          <t>ROA</t>
        </is>
      </c>
      <c r="B12" s="4" t="inlineStr">
        <is>
          <t>Net income / average total assets</t>
        </is>
      </c>
    </row>
    <row r="13" ht="25" customHeight="1">
      <c r="A13" s="5" t="inlineStr">
        <is>
          <t>ROE</t>
        </is>
      </c>
      <c r="B13" s="5" t="inlineStr">
        <is>
          <t>Net income / average equity</t>
        </is>
      </c>
    </row>
    <row r="14" ht="25" customHeight="1">
      <c r="A14" s="4" t="inlineStr">
        <is>
          <t>ROCE</t>
        </is>
      </c>
      <c r="B14" s="4" t="inlineStr">
        <is>
          <t>EBIT / (total assets - current liabilities)</t>
        </is>
      </c>
    </row>
    <row r="15" ht="25" customHeight="1">
      <c r="A15" s="5" t="inlineStr">
        <is>
          <t>Asset Turnover</t>
        </is>
      </c>
      <c r="B15" s="5" t="inlineStr">
        <is>
          <t>Revenue / average total assets</t>
        </is>
      </c>
    </row>
    <row r="16" ht="25" customHeight="1">
      <c r="A16" s="4" t="inlineStr">
        <is>
          <t>Inventory Turnover</t>
        </is>
      </c>
      <c r="B16" s="4" t="inlineStr">
        <is>
          <t>COGS / average inventory</t>
        </is>
      </c>
    </row>
    <row r="17" ht="25" customHeight="1">
      <c r="A17" s="5" t="inlineStr">
        <is>
          <t>Receivables Turnover</t>
        </is>
      </c>
      <c r="B17" s="5" t="inlineStr">
        <is>
          <t>Revenue / average accounts receivable</t>
        </is>
      </c>
    </row>
    <row r="18" ht="25" customHeight="1">
      <c r="A18" s="4" t="inlineStr">
        <is>
          <t>Payables Turnover</t>
        </is>
      </c>
      <c r="B18" s="4" t="inlineStr">
        <is>
          <t>COGS / average accounts payable</t>
        </is>
      </c>
    </row>
    <row r="19" ht="25" customHeight="1">
      <c r="A19" s="5" t="inlineStr">
        <is>
          <t>Inventory Days</t>
        </is>
      </c>
      <c r="B19" s="5" t="inlineStr">
        <is>
          <t>365 × average inventory / COGS</t>
        </is>
      </c>
    </row>
    <row r="20" ht="25" customHeight="1">
      <c r="A20" s="4" t="inlineStr">
        <is>
          <t>Receivable Days</t>
        </is>
      </c>
      <c r="B20" s="4" t="inlineStr">
        <is>
          <t>365 × average accounts receivable / Revenue</t>
        </is>
      </c>
    </row>
    <row r="21" ht="25" customHeight="1">
      <c r="A21" s="5" t="inlineStr">
        <is>
          <t>Payable Days</t>
        </is>
      </c>
      <c r="B21" s="5" t="inlineStr">
        <is>
          <t>365 × average accounts payable / COGS</t>
        </is>
      </c>
    </row>
    <row r="22" ht="25" customHeight="1">
      <c r="A22" s="4" t="inlineStr">
        <is>
          <t>Cash Conversion Cycle</t>
        </is>
      </c>
      <c r="B22" s="4" t="inlineStr">
        <is>
          <t>Inventory days + receivable days - payable days</t>
        </is>
      </c>
    </row>
    <row r="23" ht="25" customHeight="1">
      <c r="A23" s="5" t="inlineStr">
        <is>
          <t>Net Working Capital</t>
        </is>
      </c>
      <c r="B23" s="5" t="inlineStr">
        <is>
          <t>Current assets - current liabilities</t>
        </is>
      </c>
    </row>
    <row r="24" ht="25" customHeight="1">
      <c r="A24" s="4" t="inlineStr">
        <is>
          <t>Total Debt</t>
        </is>
      </c>
      <c r="B24" s="4" t="inlineStr">
        <is>
          <t>Short-term debt + long-term debt</t>
        </is>
      </c>
    </row>
    <row r="25" ht="25" customHeight="1">
      <c r="A25" s="5" t="inlineStr">
        <is>
          <t>Debt-to-Equity</t>
        </is>
      </c>
      <c r="B25" s="5" t="inlineStr">
        <is>
          <t>Interest-bearing debt / ending equity</t>
        </is>
      </c>
    </row>
    <row r="26" ht="25" customHeight="1">
      <c r="A26" s="4" t="inlineStr">
        <is>
          <t>Liabilities-to-Equity</t>
        </is>
      </c>
      <c r="B26" s="4" t="inlineStr">
        <is>
          <t>Total liabilities / ending equity</t>
        </is>
      </c>
    </row>
    <row r="27" ht="25" customHeight="1">
      <c r="A27" s="5" t="inlineStr">
        <is>
          <t>Debt Ratio</t>
        </is>
      </c>
      <c r="B27" s="5" t="inlineStr">
        <is>
          <t>Total liabilities / total assets</t>
        </is>
      </c>
    </row>
    <row r="28" ht="25" customHeight="1">
      <c r="A28" s="4" t="inlineStr">
        <is>
          <t>Long-Term Debt to Capital</t>
        </is>
      </c>
      <c r="B28" s="4" t="inlineStr">
        <is>
          <t>Long-term debt / (long-term debt + equity)</t>
        </is>
      </c>
    </row>
    <row r="29" ht="25" customHeight="1">
      <c r="A29" s="5" t="inlineStr">
        <is>
          <t>Interest Coverage</t>
        </is>
      </c>
      <c r="B29" s="5" t="inlineStr">
        <is>
          <t>EBIT / interest expense</t>
        </is>
      </c>
    </row>
    <row r="30" ht="35" customHeight="1">
      <c r="A30" s="4" t="inlineStr">
        <is>
          <t>Cash Interest Coverage</t>
        </is>
      </c>
      <c r="B30" s="4" t="inlineStr">
        <is>
          <t>(OCF + cash interest + cash taxes) / cash interest; assumes OCF includes these payments</t>
        </is>
      </c>
    </row>
    <row r="31" ht="25" customHeight="1">
      <c r="A31" s="5" t="inlineStr">
        <is>
          <t>Free Cash Flow</t>
        </is>
      </c>
      <c r="B31" s="5" t="inlineStr">
        <is>
          <t>Operating cash flow - positive capital expenditure</t>
        </is>
      </c>
    </row>
    <row r="32" ht="25" customHeight="1">
      <c r="A32" s="4" t="inlineStr">
        <is>
          <t>Operating Cash Flow Margin</t>
        </is>
      </c>
      <c r="B32" s="4" t="inlineStr">
        <is>
          <t>Operating cash flow / revenue</t>
        </is>
      </c>
    </row>
    <row r="33" ht="25" customHeight="1">
      <c r="A33" s="5" t="inlineStr">
        <is>
          <t>Cash Flow to Net Income</t>
        </is>
      </c>
      <c r="B33" s="5" t="inlineStr">
        <is>
          <t>Operating cash flow / positive net income</t>
        </is>
      </c>
    </row>
    <row r="34" ht="25" customHeight="1">
      <c r="A34" s="4" t="inlineStr">
        <is>
          <t>Capex Intensity</t>
        </is>
      </c>
      <c r="B34" s="4" t="inlineStr">
        <is>
          <t>Positive capital expenditure / revenue</t>
        </is>
      </c>
    </row>
    <row r="35" ht="25" customHeight="1">
      <c r="A35" s="5" t="inlineStr">
        <is>
          <t>EPS</t>
        </is>
      </c>
      <c r="B35" s="5" t="inlineStr">
        <is>
          <t>(Net income - preferred dividends) / weighted average shares</t>
        </is>
      </c>
    </row>
    <row r="36" ht="25" customHeight="1">
      <c r="A36" s="4" t="inlineStr">
        <is>
          <t>P/E Ratio</t>
        </is>
      </c>
      <c r="B36" s="4" t="inlineStr">
        <is>
          <t>Market price / positive EPS</t>
        </is>
      </c>
    </row>
    <row r="37" ht="25" customHeight="1">
      <c r="A37" s="5" t="inlineStr">
        <is>
          <t>Book Value Per Share</t>
        </is>
      </c>
      <c r="B37" s="5" t="inlineStr">
        <is>
          <t>Positive equity / ending shares</t>
        </is>
      </c>
    </row>
    <row r="38" ht="25" customHeight="1">
      <c r="A38" s="4" t="inlineStr">
        <is>
          <t>Price-to-Book</t>
        </is>
      </c>
      <c r="B38" s="4" t="inlineStr">
        <is>
          <t>Market price / positive book value per share</t>
        </is>
      </c>
    </row>
    <row r="39" ht="25" customHeight="1">
      <c r="A39" s="5" t="inlineStr">
        <is>
          <t>Dividend Payout Ratio</t>
        </is>
      </c>
      <c r="B39" s="5" t="inlineStr">
        <is>
          <t>Cash dividends / positive net income</t>
        </is>
      </c>
    </row>
    <row r="40" ht="25" customHeight="1">
      <c r="A40" s="4" t="inlineStr">
        <is>
          <t>Dividend Yield</t>
        </is>
      </c>
      <c r="B40" s="4" t="inlineStr">
        <is>
          <t>(Cash dividends / ending shares) / market price</t>
        </is>
      </c>
    </row>
  </sheetData>
  <autoFilter ref="A3:B40"/>
  <mergeCells count="2">
    <mergeCell ref="A2:B2"/>
    <mergeCell ref="A1:B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2026-09-28T18:50:27Z</dcterms:created>
  <dcterms:modified xmlns:dcterms="http://purl.org/dc/terms/" xmlns:xsi="http://www.w3.org/2001/XMLSchema-instance" xsi:type="dcterms:W3CDTF">2026-09-28T18:50:28Z</dcterms:modified>
</cp:coreProperties>
</file>